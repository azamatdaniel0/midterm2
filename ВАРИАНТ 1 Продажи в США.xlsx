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katerina\Преподавание\Анализ и визуализация данных\ГАК\"/>
    </mc:Choice>
  </mc:AlternateContent>
  <bookViews>
    <workbookView xWindow="0" yWindow="0" windowWidth="11490" windowHeight="3960"/>
  </bookViews>
  <sheets>
    <sheet name="Данные" sheetId="1" r:id="rId1"/>
    <sheet name="Штаты" sheetId="9" r:id="rId2"/>
    <sheet name="координаты" sheetId="3" state="hidden" r:id="rId3"/>
  </sheets>
  <definedNames>
    <definedName name="_xlnm._FilterDatabase" localSheetId="0" hidden="1">Данные!$A$1:$O$95</definedName>
    <definedName name="_xlnm._FilterDatabase" localSheetId="1" hidden="1">Штаты!$A$1:$B$33</definedName>
    <definedName name="solver_adj" localSheetId="0" hidden="1">Данные!$J$87:$J$95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Данные!$J$87:$J$95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Данные!$T$2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400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622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M45" i="1" l="1"/>
  <c r="O45" i="1" s="1"/>
  <c r="M10" i="1"/>
  <c r="O10" i="1" s="1"/>
  <c r="M14" i="1"/>
  <c r="O14" i="1" s="1"/>
  <c r="M29" i="1"/>
  <c r="O29" i="1" s="1"/>
  <c r="M52" i="1"/>
  <c r="O52" i="1" s="1"/>
  <c r="M78" i="1"/>
  <c r="O78" i="1" s="1"/>
  <c r="M20" i="1"/>
  <c r="O20" i="1" s="1"/>
  <c r="M13" i="1"/>
  <c r="O13" i="1" s="1"/>
  <c r="M2" i="1"/>
  <c r="O2" i="1" s="1"/>
  <c r="M50" i="1"/>
  <c r="O50" i="1" s="1"/>
  <c r="M22" i="1"/>
  <c r="O22" i="1" s="1"/>
  <c r="M82" i="1"/>
  <c r="O82" i="1" s="1"/>
  <c r="M68" i="1"/>
  <c r="O68" i="1" s="1"/>
  <c r="M94" i="1"/>
  <c r="O94" i="1" s="1"/>
  <c r="M83" i="1"/>
  <c r="O83" i="1" s="1"/>
  <c r="M30" i="1"/>
  <c r="O30" i="1" s="1"/>
  <c r="M4" i="1"/>
  <c r="O4" i="1" s="1"/>
  <c r="M84" i="1"/>
  <c r="O84" i="1" s="1"/>
  <c r="M48" i="1"/>
  <c r="O48" i="1" s="1"/>
  <c r="M74" i="1"/>
  <c r="O74" i="1" s="1"/>
  <c r="M63" i="1"/>
  <c r="O63" i="1" s="1"/>
  <c r="M7" i="1"/>
  <c r="O7" i="1" s="1"/>
  <c r="M39" i="1"/>
  <c r="O39" i="1" s="1"/>
  <c r="M23" i="1"/>
  <c r="O23" i="1" s="1"/>
  <c r="M6" i="1"/>
  <c r="O6" i="1" s="1"/>
  <c r="M61" i="1"/>
  <c r="O61" i="1" s="1"/>
  <c r="M89" i="1"/>
  <c r="O89" i="1" s="1"/>
  <c r="M46" i="1"/>
  <c r="O46" i="1" s="1"/>
  <c r="M88" i="1"/>
  <c r="O88" i="1" s="1"/>
  <c r="M75" i="1"/>
  <c r="O75" i="1" s="1"/>
  <c r="M42" i="1"/>
  <c r="O42" i="1" s="1"/>
  <c r="M72" i="1"/>
  <c r="O72" i="1" s="1"/>
  <c r="M21" i="1"/>
  <c r="O21" i="1" s="1"/>
  <c r="M31" i="1"/>
  <c r="O31" i="1" s="1"/>
  <c r="M33" i="1"/>
  <c r="O33" i="1" s="1"/>
  <c r="M86" i="1"/>
  <c r="O86" i="1" s="1"/>
  <c r="M44" i="1"/>
  <c r="O44" i="1" s="1"/>
  <c r="M16" i="1"/>
  <c r="O16" i="1" s="1"/>
  <c r="M80" i="1"/>
  <c r="O80" i="1" s="1"/>
  <c r="M35" i="1"/>
  <c r="O35" i="1" s="1"/>
  <c r="M24" i="1"/>
  <c r="O24" i="1" s="1"/>
  <c r="M93" i="1"/>
  <c r="O93" i="1" s="1"/>
  <c r="M41" i="1"/>
  <c r="O41" i="1" s="1"/>
  <c r="M51" i="1"/>
  <c r="O51" i="1" s="1"/>
  <c r="M11" i="1"/>
  <c r="O11" i="1" s="1"/>
  <c r="M81" i="1"/>
  <c r="O81" i="1" s="1"/>
  <c r="M54" i="1"/>
  <c r="O54" i="1" s="1"/>
  <c r="M27" i="1"/>
  <c r="O27" i="1" s="1"/>
  <c r="M38" i="1"/>
  <c r="O38" i="1" s="1"/>
  <c r="M12" i="1"/>
  <c r="O12" i="1" s="1"/>
  <c r="M26" i="1"/>
  <c r="O26" i="1" s="1"/>
  <c r="M59" i="1"/>
  <c r="O59" i="1" s="1"/>
  <c r="M76" i="1"/>
  <c r="O76" i="1" s="1"/>
  <c r="M85" i="1"/>
  <c r="O85" i="1" s="1"/>
  <c r="M73" i="1"/>
  <c r="O73" i="1" s="1"/>
  <c r="M65" i="1"/>
  <c r="O65" i="1" s="1"/>
  <c r="M87" i="1"/>
  <c r="O87" i="1" s="1"/>
  <c r="M62" i="1"/>
  <c r="O62" i="1" s="1"/>
  <c r="M91" i="1"/>
  <c r="O91" i="1" s="1"/>
  <c r="M28" i="1"/>
  <c r="O28" i="1" s="1"/>
  <c r="M70" i="1"/>
  <c r="O70" i="1" s="1"/>
  <c r="M25" i="1"/>
  <c r="O25" i="1" s="1"/>
  <c r="M58" i="1"/>
  <c r="O58" i="1" s="1"/>
  <c r="M95" i="1"/>
  <c r="O95" i="1" s="1"/>
  <c r="M79" i="1"/>
  <c r="O79" i="1" s="1"/>
  <c r="M69" i="1"/>
  <c r="O69" i="1" s="1"/>
  <c r="M32" i="1"/>
  <c r="O32" i="1" s="1"/>
  <c r="M34" i="1"/>
  <c r="O34" i="1" s="1"/>
  <c r="M8" i="1"/>
  <c r="O8" i="1" s="1"/>
  <c r="M77" i="1"/>
  <c r="O77" i="1" s="1"/>
  <c r="M15" i="1"/>
  <c r="O15" i="1" s="1"/>
  <c r="M17" i="1"/>
  <c r="O17" i="1" s="1"/>
  <c r="M40" i="1"/>
  <c r="O40" i="1" s="1"/>
  <c r="M64" i="1"/>
  <c r="O64" i="1" s="1"/>
  <c r="M47" i="1"/>
  <c r="O47" i="1" s="1"/>
  <c r="M5" i="1"/>
  <c r="O5" i="1" s="1"/>
  <c r="M53" i="1"/>
  <c r="O53" i="1" s="1"/>
  <c r="M57" i="1"/>
  <c r="O57" i="1" s="1"/>
  <c r="M43" i="1"/>
  <c r="O43" i="1" s="1"/>
  <c r="M67" i="1"/>
  <c r="O67" i="1" s="1"/>
  <c r="M92" i="1"/>
  <c r="O92" i="1" s="1"/>
  <c r="M60" i="1"/>
  <c r="O60" i="1" s="1"/>
  <c r="M49" i="1"/>
  <c r="O49" i="1" s="1"/>
  <c r="M66" i="1"/>
  <c r="O66" i="1" s="1"/>
  <c r="M3" i="1"/>
  <c r="O3" i="1" s="1"/>
  <c r="M37" i="1"/>
  <c r="O37" i="1" s="1"/>
  <c r="M19" i="1"/>
  <c r="O19" i="1" s="1"/>
  <c r="M36" i="1"/>
  <c r="O36" i="1" s="1"/>
  <c r="M90" i="1"/>
  <c r="O90" i="1" s="1"/>
  <c r="M55" i="1"/>
  <c r="O55" i="1" s="1"/>
  <c r="M56" i="1"/>
  <c r="O56" i="1" s="1"/>
  <c r="M9" i="1"/>
  <c r="O9" i="1" s="1"/>
  <c r="M18" i="1"/>
  <c r="O18" i="1" s="1"/>
  <c r="M71" i="1"/>
  <c r="O71" i="1" s="1"/>
  <c r="E75" i="1" l="1"/>
  <c r="D75" i="1"/>
  <c r="E72" i="1"/>
  <c r="D72" i="1"/>
  <c r="E32" i="1"/>
  <c r="D32" i="1"/>
  <c r="E85" i="1"/>
  <c r="D85" i="1"/>
  <c r="E79" i="1"/>
  <c r="D79" i="1"/>
  <c r="E52" i="1"/>
  <c r="D52" i="1"/>
  <c r="E17" i="1"/>
  <c r="D17" i="1"/>
  <c r="E26" i="1"/>
  <c r="D26" i="1"/>
  <c r="E71" i="1"/>
  <c r="D71" i="1"/>
  <c r="E43" i="1"/>
  <c r="D43" i="1"/>
  <c r="E20" i="1"/>
  <c r="D20" i="1"/>
  <c r="E15" i="1"/>
  <c r="D15" i="1"/>
  <c r="E88" i="1"/>
  <c r="D88" i="1"/>
  <c r="E78" i="1"/>
  <c r="D78" i="1"/>
  <c r="E73" i="1"/>
  <c r="D73" i="1"/>
  <c r="E49" i="1"/>
  <c r="D49" i="1"/>
  <c r="E68" i="1"/>
  <c r="D68" i="1"/>
  <c r="E67" i="1"/>
  <c r="D67" i="1"/>
  <c r="E65" i="1"/>
  <c r="D65" i="1"/>
  <c r="E38" i="1"/>
  <c r="D38" i="1"/>
  <c r="E82" i="1"/>
  <c r="D82" i="1"/>
  <c r="E74" i="1"/>
  <c r="D74" i="1"/>
  <c r="E50" i="1"/>
  <c r="D50" i="1"/>
  <c r="E24" i="1"/>
  <c r="D24" i="1"/>
  <c r="E64" i="1"/>
  <c r="D64" i="1"/>
  <c r="E22" i="1"/>
  <c r="D22" i="1"/>
  <c r="E11" i="1"/>
  <c r="D11" i="1"/>
  <c r="E70" i="1"/>
  <c r="D70" i="1"/>
  <c r="E86" i="1"/>
  <c r="D86" i="1"/>
  <c r="E46" i="1"/>
  <c r="D46" i="1"/>
  <c r="E45" i="1"/>
  <c r="D45" i="1"/>
  <c r="E14" i="1"/>
  <c r="D14" i="1"/>
  <c r="E54" i="1"/>
  <c r="D54" i="1"/>
  <c r="E40" i="1"/>
  <c r="D40" i="1"/>
  <c r="E55" i="1"/>
  <c r="D55" i="1"/>
  <c r="E13" i="1"/>
  <c r="D13" i="1"/>
  <c r="E12" i="1"/>
  <c r="D12" i="1"/>
  <c r="E7" i="1"/>
  <c r="D7" i="1"/>
  <c r="E77" i="1"/>
  <c r="D77" i="1"/>
  <c r="E21" i="1"/>
  <c r="D21" i="1"/>
  <c r="E4" i="1"/>
  <c r="D4" i="1"/>
  <c r="E94" i="1"/>
  <c r="D94" i="1"/>
  <c r="E95" i="1"/>
  <c r="D95" i="1"/>
  <c r="E91" i="1"/>
  <c r="D91" i="1"/>
  <c r="E66" i="1"/>
  <c r="D66" i="1"/>
  <c r="E69" i="1"/>
  <c r="D69" i="1"/>
  <c r="E5" i="1"/>
  <c r="D5" i="1"/>
  <c r="E18" i="1"/>
  <c r="D18" i="1"/>
  <c r="E27" i="1"/>
  <c r="D27" i="1"/>
  <c r="E16" i="1"/>
  <c r="D16" i="1"/>
  <c r="E93" i="1"/>
  <c r="D93" i="1"/>
  <c r="E92" i="1"/>
  <c r="D92" i="1"/>
  <c r="E33" i="1"/>
  <c r="D33" i="1"/>
  <c r="E51" i="1"/>
  <c r="D51" i="1"/>
  <c r="E19" i="1"/>
  <c r="D19" i="1"/>
  <c r="E81" i="1"/>
  <c r="D81" i="1"/>
  <c r="E80" i="1"/>
  <c r="D80" i="1"/>
  <c r="E47" i="1"/>
  <c r="D47" i="1"/>
  <c r="E48" i="1"/>
  <c r="D48" i="1"/>
  <c r="E6" i="1"/>
  <c r="D6" i="1"/>
  <c r="E31" i="1"/>
  <c r="D31" i="1"/>
  <c r="E10" i="1"/>
  <c r="D10" i="1"/>
  <c r="E29" i="1"/>
  <c r="D29" i="1"/>
  <c r="E3" i="1"/>
  <c r="D3" i="1"/>
  <c r="E90" i="1"/>
  <c r="D90" i="1"/>
  <c r="E63" i="1"/>
  <c r="D63" i="1"/>
  <c r="E62" i="1"/>
  <c r="D62" i="1"/>
  <c r="E60" i="1"/>
  <c r="D60" i="1"/>
  <c r="E59" i="1"/>
  <c r="D59" i="1"/>
  <c r="E61" i="1"/>
  <c r="D61" i="1"/>
  <c r="E58" i="1"/>
  <c r="D58" i="1"/>
  <c r="E57" i="1"/>
  <c r="D57" i="1"/>
  <c r="E42" i="1"/>
  <c r="D42" i="1"/>
  <c r="E53" i="1"/>
  <c r="D53" i="1"/>
  <c r="E28" i="1"/>
  <c r="D28" i="1"/>
  <c r="E41" i="1"/>
  <c r="D41" i="1"/>
  <c r="E8" i="1"/>
  <c r="D8" i="1"/>
  <c r="E76" i="1"/>
  <c r="D76" i="1"/>
  <c r="E44" i="1"/>
  <c r="D44" i="1"/>
  <c r="E56" i="1"/>
  <c r="D56" i="1"/>
  <c r="E89" i="1"/>
  <c r="D89" i="1"/>
  <c r="E9" i="1"/>
  <c r="D9" i="1"/>
  <c r="E30" i="1"/>
  <c r="D30" i="1"/>
  <c r="E36" i="1"/>
  <c r="D36" i="1"/>
  <c r="E39" i="1"/>
  <c r="D39" i="1"/>
  <c r="E34" i="1"/>
  <c r="D34" i="1"/>
  <c r="E37" i="1"/>
  <c r="D37" i="1"/>
  <c r="E23" i="1"/>
  <c r="D23" i="1"/>
  <c r="E25" i="1"/>
  <c r="D25" i="1"/>
  <c r="E87" i="1"/>
  <c r="D87" i="1"/>
  <c r="E35" i="1"/>
  <c r="D35" i="1"/>
  <c r="E83" i="1"/>
  <c r="D83" i="1"/>
  <c r="E84" i="1"/>
  <c r="D84" i="1"/>
  <c r="E2" i="1"/>
  <c r="D2" i="1"/>
</calcChain>
</file>

<file path=xl/sharedStrings.xml><?xml version="1.0" encoding="utf-8"?>
<sst xmlns="http://schemas.openxmlformats.org/spreadsheetml/2006/main" count="1301" uniqueCount="768">
  <si>
    <t>Дата заказа</t>
  </si>
  <si>
    <t>Страна</t>
  </si>
  <si>
    <t>Город</t>
  </si>
  <si>
    <t>Широта</t>
  </si>
  <si>
    <t>Долгота</t>
  </si>
  <si>
    <t>Штат</t>
  </si>
  <si>
    <t>Регион</t>
  </si>
  <si>
    <t>Код товара</t>
  </si>
  <si>
    <t>Категория</t>
  </si>
  <si>
    <t>Подкатегория</t>
  </si>
  <si>
    <t>Скидка</t>
  </si>
  <si>
    <t>Соединенные Штаты</t>
  </si>
  <si>
    <t>Лос-Анджелес</t>
  </si>
  <si>
    <t>Калифорния</t>
  </si>
  <si>
    <t>Западный</t>
  </si>
  <si>
    <t>OFF-ST-10003479</t>
  </si>
  <si>
    <t>Одежда</t>
  </si>
  <si>
    <t>Топы</t>
  </si>
  <si>
    <t>Нью-Йорк</t>
  </si>
  <si>
    <t>Северный</t>
  </si>
  <si>
    <t>TEC-PH-10002447</t>
  </si>
  <si>
    <t>Аксессуары</t>
  </si>
  <si>
    <t>Сумки</t>
  </si>
  <si>
    <t>Мадисон</t>
  </si>
  <si>
    <t>Висконсин</t>
  </si>
  <si>
    <t>Центральный</t>
  </si>
  <si>
    <t>OFF-ST-10004186</t>
  </si>
  <si>
    <t>Восточный</t>
  </si>
  <si>
    <t>OFF-BI-10004654</t>
  </si>
  <si>
    <t>Платья</t>
  </si>
  <si>
    <t>Орем</t>
  </si>
  <si>
    <t>Юта</t>
  </si>
  <si>
    <t>Обувь</t>
  </si>
  <si>
    <t>Гилберт</t>
  </si>
  <si>
    <t>Аризона</t>
  </si>
  <si>
    <t>OFF-AR-10002671</t>
  </si>
  <si>
    <t>Куртки</t>
  </si>
  <si>
    <t>TEC-PH-10002726</t>
  </si>
  <si>
    <t>Хьюстон</t>
  </si>
  <si>
    <t>Техас</t>
  </si>
  <si>
    <t>OFF-PA-10000249</t>
  </si>
  <si>
    <t>Деловые костюмы</t>
  </si>
  <si>
    <t>OFF-AR-10004930</t>
  </si>
  <si>
    <t>TEC-PH-10004093</t>
  </si>
  <si>
    <t>OFF-PA-10000304</t>
  </si>
  <si>
    <t>Троя</t>
  </si>
  <si>
    <t>OFF-ST-10000604</t>
  </si>
  <si>
    <t>OFF-PA-10001569</t>
  </si>
  <si>
    <t>Спортивные ботинки</t>
  </si>
  <si>
    <t>OFF-PA-10000587</t>
  </si>
  <si>
    <t>TEC-AC-10002167</t>
  </si>
  <si>
    <t>Ремни</t>
  </si>
  <si>
    <t>OFF-BI-10001460</t>
  </si>
  <si>
    <t>OFF-AR-10001868</t>
  </si>
  <si>
    <t>Олбани</t>
  </si>
  <si>
    <t>Индиана</t>
  </si>
  <si>
    <t>OFF-BI-10004410</t>
  </si>
  <si>
    <t>OFF-LA-10002762</t>
  </si>
  <si>
    <t>Носки</t>
  </si>
  <si>
    <t>Кроссовки</t>
  </si>
  <si>
    <t>OFF-AR-10002833</t>
  </si>
  <si>
    <t>TEC-PH-10002275</t>
  </si>
  <si>
    <t>OFF-BI-10003910</t>
  </si>
  <si>
    <t>OFF-AP-10002892</t>
  </si>
  <si>
    <t>Джинсы</t>
  </si>
  <si>
    <t>TEC-PH-10002033</t>
  </si>
  <si>
    <t>Конкорд</t>
  </si>
  <si>
    <t>Северная Каролина</t>
  </si>
  <si>
    <t>Южный</t>
  </si>
  <si>
    <t>OFF-PA-10002365</t>
  </si>
  <si>
    <t>Джексон</t>
  </si>
  <si>
    <t>Мичиган</t>
  </si>
  <si>
    <t>OFF-PA-10004675</t>
  </si>
  <si>
    <t>OFF-EN-10002986</t>
  </si>
  <si>
    <t>Футболки</t>
  </si>
  <si>
    <t>Шлепки</t>
  </si>
  <si>
    <t>TEC-PH-10000486</t>
  </si>
  <si>
    <t>Ричардсон</t>
  </si>
  <si>
    <t>TEC-PH-10004977</t>
  </si>
  <si>
    <t>Иган</t>
  </si>
  <si>
    <t>Миннесота</t>
  </si>
  <si>
    <t>TEC-AC-10000171</t>
  </si>
  <si>
    <t>OFF-BI-10003291</t>
  </si>
  <si>
    <t>Спрингфилд</t>
  </si>
  <si>
    <t>Вирджиния</t>
  </si>
  <si>
    <t>OFF-PA-10000482</t>
  </si>
  <si>
    <t>Нейпервилл</t>
  </si>
  <si>
    <t>Иллинойс</t>
  </si>
  <si>
    <t>OFF-BI-10001634</t>
  </si>
  <si>
    <t>TEC-AC-10003027</t>
  </si>
  <si>
    <t>Декейтер</t>
  </si>
  <si>
    <t>Алабама</t>
  </si>
  <si>
    <t>OFF-AP-10002118</t>
  </si>
  <si>
    <t>OFF-BI-10002309</t>
  </si>
  <si>
    <t>TEC-AC-10004633</t>
  </si>
  <si>
    <t>OFF-BI-10001078</t>
  </si>
  <si>
    <t>OFF-PA-10003892</t>
  </si>
  <si>
    <t>Фримонт</t>
  </si>
  <si>
    <t>Небраска</t>
  </si>
  <si>
    <t>OFF-AR-10000246</t>
  </si>
  <si>
    <t>OFF-AP-10001492</t>
  </si>
  <si>
    <t>OFF-LA-10000240</t>
  </si>
  <si>
    <t>Сан-Франциско</t>
  </si>
  <si>
    <t>OFF-AR-10002053</t>
  </si>
  <si>
    <t>OFF-ST-10002370</t>
  </si>
  <si>
    <t>Мельбурн</t>
  </si>
  <si>
    <t>Флорида</t>
  </si>
  <si>
    <t>OFF-ST-10003282</t>
  </si>
  <si>
    <t>Колумбия</t>
  </si>
  <si>
    <t>Южная Каролина</t>
  </si>
  <si>
    <t>OFF-AR-10003056</t>
  </si>
  <si>
    <t>TEC-PH-10001949</t>
  </si>
  <si>
    <t>OFF-BI-10002215</t>
  </si>
  <si>
    <t>Уотерфорд</t>
  </si>
  <si>
    <t>OFF-ST-10001713</t>
  </si>
  <si>
    <t>Миннеаполис</t>
  </si>
  <si>
    <t>OFF-PA-10003177</t>
  </si>
  <si>
    <t>OFF-BI-10002852</t>
  </si>
  <si>
    <t>Дарем</t>
  </si>
  <si>
    <t>OFF-EN-10000927</t>
  </si>
  <si>
    <t>Хендерсон</t>
  </si>
  <si>
    <t>Кентукки</t>
  </si>
  <si>
    <t>Рочестер</t>
  </si>
  <si>
    <t>TEC-AC-10001998</t>
  </si>
  <si>
    <t>OFF-LA-10000134</t>
  </si>
  <si>
    <t>OFF-BI-10001721</t>
  </si>
  <si>
    <t>OFF-ST-10003442</t>
  </si>
  <si>
    <t>Сиэтл</t>
  </si>
  <si>
    <t>Вашингтон</t>
  </si>
  <si>
    <t>OFF-BI-10003656</t>
  </si>
  <si>
    <t>Уэст-Джордан</t>
  </si>
  <si>
    <t>OFF-ST-10000107</t>
  </si>
  <si>
    <t>Довер</t>
  </si>
  <si>
    <t>Делавэр</t>
  </si>
  <si>
    <t>TEC-PH-10003988</t>
  </si>
  <si>
    <t>Форт-Лодердейл</t>
  </si>
  <si>
    <t>OFF-ST-10000760</t>
  </si>
  <si>
    <t>Портленд</t>
  </si>
  <si>
    <t>Орегон</t>
  </si>
  <si>
    <t>OFF-BI-10004738</t>
  </si>
  <si>
    <t>OFF-BI-10004182</t>
  </si>
  <si>
    <t>OFF-ST-10000615</t>
  </si>
  <si>
    <t>Форт-Уэрт</t>
  </si>
  <si>
    <t>OFF-AP-10002311</t>
  </si>
  <si>
    <t>OFF-BI-10000756</t>
  </si>
  <si>
    <t>Чикаго</t>
  </si>
  <si>
    <t>OFF-ST-10003656</t>
  </si>
  <si>
    <t>Мемфис</t>
  </si>
  <si>
    <t>Теннесси</t>
  </si>
  <si>
    <t>OFF-ST-10004123</t>
  </si>
  <si>
    <t>Филадельфия</t>
  </si>
  <si>
    <t>Пенсильвания</t>
  </si>
  <si>
    <t>OFF-BI-10000474</t>
  </si>
  <si>
    <t>OFF-EN-10001509</t>
  </si>
  <si>
    <t>OFF-AR-10004042</t>
  </si>
  <si>
    <t>OFF-BI-10001525</t>
  </si>
  <si>
    <t>OFF-AR-10001683</t>
  </si>
  <si>
    <t>FUR-BO-10001798</t>
  </si>
  <si>
    <t>FUR-CH-10000454</t>
  </si>
  <si>
    <t>FUR-TA-10000577</t>
  </si>
  <si>
    <t>FUR-FU-10001487</t>
  </si>
  <si>
    <t>FUR-TA-10001539</t>
  </si>
  <si>
    <t>FUR-CH-10002774</t>
  </si>
  <si>
    <t>FUR-BO-10004834</t>
  </si>
  <si>
    <t>FUR-FU-10004848</t>
  </si>
  <si>
    <t>FUR-FU-10003664</t>
  </si>
  <si>
    <t>FUR-BO-10002545</t>
  </si>
  <si>
    <t>FUR-CH-10004218</t>
  </si>
  <si>
    <t>FUR-FU-10001706</t>
  </si>
  <si>
    <t>FUR-CH-10003061</t>
  </si>
  <si>
    <t>FUR-CH-10003968</t>
  </si>
  <si>
    <t>FUR-FU-10000397</t>
  </si>
  <si>
    <t>FUR-CH-10001146</t>
  </si>
  <si>
    <t>FUR-CH-10000513</t>
  </si>
  <si>
    <t>FUR-FU-10003708</t>
  </si>
  <si>
    <t>FUR-FU-10000260</t>
  </si>
  <si>
    <t>FUR-FU-10003194</t>
  </si>
  <si>
    <t>FUR-CH-10000863</t>
  </si>
  <si>
    <t>FUR-FU-10003799</t>
  </si>
  <si>
    <t>FUR-FU-10000629</t>
  </si>
  <si>
    <t>Абилин</t>
  </si>
  <si>
    <t>Аврора</t>
  </si>
  <si>
    <t>Айдахо-Фолс</t>
  </si>
  <si>
    <t>Айова-Сити</t>
  </si>
  <si>
    <t>Акрон</t>
  </si>
  <si>
    <t>Аламида</t>
  </si>
  <si>
    <t>Александрия</t>
  </si>
  <si>
    <t>Аллен</t>
  </si>
  <si>
    <t>Аллентаун</t>
  </si>
  <si>
    <t>Альбукерке</t>
  </si>
  <si>
    <t>Альгамбра</t>
  </si>
  <si>
    <t>Альфаретта</t>
  </si>
  <si>
    <t>Амарилло</t>
  </si>
  <si>
    <t>Амхерст</t>
  </si>
  <si>
    <t>Анахайм</t>
  </si>
  <si>
    <t>Андерсон</t>
  </si>
  <si>
    <t>Анкоридж</t>
  </si>
  <si>
    <t>Аннаполис</t>
  </si>
  <si>
    <t>Антиок</t>
  </si>
  <si>
    <t>Аплтон</t>
  </si>
  <si>
    <t>Арвада</t>
  </si>
  <si>
    <t>Аркадия</t>
  </si>
  <si>
    <t>Арлингтон</t>
  </si>
  <si>
    <t>Арлингтон-Хайтс</t>
  </si>
  <si>
    <t>Астория</t>
  </si>
  <si>
    <t>Атенс</t>
  </si>
  <si>
    <t>Атланта</t>
  </si>
  <si>
    <t>Бакай</t>
  </si>
  <si>
    <t>Балтимор</t>
  </si>
  <si>
    <t>Бартлетт</t>
  </si>
  <si>
    <t>Батон-Руж</t>
  </si>
  <si>
    <t>Бейкерсфилд</t>
  </si>
  <si>
    <t>Бейонн</t>
  </si>
  <si>
    <t>Белвью</t>
  </si>
  <si>
    <t>Беллингхем</t>
  </si>
  <si>
    <t>Беллфлауэр</t>
  </si>
  <si>
    <t>Бенд</t>
  </si>
  <si>
    <t>Бенсонхерст</t>
  </si>
  <si>
    <t>Бербанк</t>
  </si>
  <si>
    <t>Беркли</t>
  </si>
  <si>
    <t>Берлингтон</t>
  </si>
  <si>
    <t>Бернсвилл</t>
  </si>
  <si>
    <t>Беруин</t>
  </si>
  <si>
    <t>Бетесда</t>
  </si>
  <si>
    <t>Бивертон</t>
  </si>
  <si>
    <t>Биллингс</t>
  </si>
  <si>
    <t>Бирмингем</t>
  </si>
  <si>
    <t>Бисмарк</t>
  </si>
  <si>
    <t>Блумингтон</t>
  </si>
  <si>
    <t>Бойсе</t>
  </si>
  <si>
    <t>Бока-Ратон</t>
  </si>
  <si>
    <t>Болдуин-Парк</t>
  </si>
  <si>
    <t>Бомонт</t>
  </si>
  <si>
    <t>Боро-Парк</t>
  </si>
  <si>
    <t>Бостон</t>
  </si>
  <si>
    <t>Боуи</t>
  </si>
  <si>
    <t>Боулдер</t>
  </si>
  <si>
    <t>Боулинг-Грин</t>
  </si>
  <si>
    <t>Брайан</t>
  </si>
  <si>
    <t>Браунсвилл</t>
  </si>
  <si>
    <t>Брейдентон</t>
  </si>
  <si>
    <t>Бриджпорт</t>
  </si>
  <si>
    <t>Бристол</t>
  </si>
  <si>
    <t>Брокен-Эрроу</t>
  </si>
  <si>
    <t>Броктон</t>
  </si>
  <si>
    <t>Бронкс</t>
  </si>
  <si>
    <t>Бруклин</t>
  </si>
  <si>
    <t>Бруклин-Парк</t>
  </si>
  <si>
    <t>Брэндон</t>
  </si>
  <si>
    <t>Буффало</t>
  </si>
  <si>
    <t>Бушуик</t>
  </si>
  <si>
    <t>Буэна-Парк</t>
  </si>
  <si>
    <t>Валдоста</t>
  </si>
  <si>
    <t>Вальехо</t>
  </si>
  <si>
    <t>Ванкувер</t>
  </si>
  <si>
    <t>Веллингтон</t>
  </si>
  <si>
    <t>Вентура</t>
  </si>
  <si>
    <t>Вестминстер</t>
  </si>
  <si>
    <t>Викторвилл</t>
  </si>
  <si>
    <t>Виктория</t>
  </si>
  <si>
    <t>Вирджиния-Бич</t>
  </si>
  <si>
    <t>Висейлия</t>
  </si>
  <si>
    <t>Вифлеем</t>
  </si>
  <si>
    <t>Восточный Гарлем</t>
  </si>
  <si>
    <t>Вудбери</t>
  </si>
  <si>
    <t>Вустер</t>
  </si>
  <si>
    <t>Галвестон</t>
  </si>
  <si>
    <t>Галфпорта</t>
  </si>
  <si>
    <t>Гамильтон</t>
  </si>
  <si>
    <t>Гарден-Гров</t>
  </si>
  <si>
    <t>Гардина</t>
  </si>
  <si>
    <t>Гарлем</t>
  </si>
  <si>
    <t>Гаррисберг</t>
  </si>
  <si>
    <t>Гастония</t>
  </si>
  <si>
    <t>Гейнсвилл</t>
  </si>
  <si>
    <t>Гейтерсберг</t>
  </si>
  <si>
    <t>Гирлянда</t>
  </si>
  <si>
    <t>Глендейл</t>
  </si>
  <si>
    <t>Глендора</t>
  </si>
  <si>
    <t>Гонолулу</t>
  </si>
  <si>
    <t>Гранд-Айленд</t>
  </si>
  <si>
    <t>Гранд-Джанкшен</t>
  </si>
  <si>
    <t>Гранд-Прери</t>
  </si>
  <si>
    <t>Гранд-Рапидс</t>
  </si>
  <si>
    <t>Гранд-Форкс</t>
  </si>
  <si>
    <t>Грейт-Фолс</t>
  </si>
  <si>
    <t>Грешам</t>
  </si>
  <si>
    <t>Грили</t>
  </si>
  <si>
    <t>Грин-Бей</t>
  </si>
  <si>
    <t>Гринбург</t>
  </si>
  <si>
    <t>Гринвилл</t>
  </si>
  <si>
    <t>Гринсборо</t>
  </si>
  <si>
    <t>Гувер</t>
  </si>
  <si>
    <t>Гудиер</t>
  </si>
  <si>
    <t>Гэри</t>
  </si>
  <si>
    <t>Дабек</t>
  </si>
  <si>
    <t>Даймонд-Бар</t>
  </si>
  <si>
    <t>Даллас</t>
  </si>
  <si>
    <t>Данбери</t>
  </si>
  <si>
    <t>Дандолк</t>
  </si>
  <si>
    <t>Дауни</t>
  </si>
  <si>
    <t>Де-Мойн</t>
  </si>
  <si>
    <t>Дейвис</t>
  </si>
  <si>
    <t>Дейли-Сити</t>
  </si>
  <si>
    <t>Дейтон</t>
  </si>
  <si>
    <t>Дейтона-Бич</t>
  </si>
  <si>
    <t>Делано</t>
  </si>
  <si>
    <t>Делрей-Бич</t>
  </si>
  <si>
    <t>Делтона</t>
  </si>
  <si>
    <t>Денвер</t>
  </si>
  <si>
    <t>Дентон</t>
  </si>
  <si>
    <t>Дес-Плейнс</t>
  </si>
  <si>
    <t>Детройт</t>
  </si>
  <si>
    <t>Джейнсвилл</t>
  </si>
  <si>
    <t>Джерси-Сити</t>
  </si>
  <si>
    <t>Джефферсон-Сити</t>
  </si>
  <si>
    <t>Джонсборо</t>
  </si>
  <si>
    <t>Джоплин</t>
  </si>
  <si>
    <t>Джорджтаун</t>
  </si>
  <si>
    <t>Джуно</t>
  </si>
  <si>
    <t>Джэксонвилл</t>
  </si>
  <si>
    <t>Дирборн</t>
  </si>
  <si>
    <t>Дирфилд-Бич</t>
  </si>
  <si>
    <t>Дотан</t>
  </si>
  <si>
    <t>Дублин</t>
  </si>
  <si>
    <t>Дулут</t>
  </si>
  <si>
    <t>Дэвенпорт</t>
  </si>
  <si>
    <t>Дэви</t>
  </si>
  <si>
    <t>Западный Хартфорд</t>
  </si>
  <si>
    <t>Зе-Вудлендс</t>
  </si>
  <si>
    <t>Идайна</t>
  </si>
  <si>
    <t>Иден-Прери</t>
  </si>
  <si>
    <t>Инглвуд</t>
  </si>
  <si>
    <t>Индепенденс</t>
  </si>
  <si>
    <t>Индианаполис</t>
  </si>
  <si>
    <t>Индио</t>
  </si>
  <si>
    <t>Ирвин</t>
  </si>
  <si>
    <t>Ирвинг</t>
  </si>
  <si>
    <t>Йонкерс</t>
  </si>
  <si>
    <t>Йорба-Линда</t>
  </si>
  <si>
    <t>Каламазу</t>
  </si>
  <si>
    <t>Камден</t>
  </si>
  <si>
    <t>Канзас-Сити</t>
  </si>
  <si>
    <t>Кантон</t>
  </si>
  <si>
    <t>Карлсбад</t>
  </si>
  <si>
    <t>Кармайкл</t>
  </si>
  <si>
    <t>Кармель</t>
  </si>
  <si>
    <t>Карролтон</t>
  </si>
  <si>
    <t>Карсон</t>
  </si>
  <si>
    <t>Карсон-Сити</t>
  </si>
  <si>
    <t>Каса-Гранде</t>
  </si>
  <si>
    <t>Каспер</t>
  </si>
  <si>
    <t>Катидрал-Сити</t>
  </si>
  <si>
    <t>Каунсил-Блафс</t>
  </si>
  <si>
    <t>Кейп-Корал</t>
  </si>
  <si>
    <t>Кембридж</t>
  </si>
  <si>
    <t>Кендалл</t>
  </si>
  <si>
    <t>Кенневик</t>
  </si>
  <si>
    <t>Кеннер</t>
  </si>
  <si>
    <t>Кеноша</t>
  </si>
  <si>
    <t>Кент</t>
  </si>
  <si>
    <t>Кеттеринг</t>
  </si>
  <si>
    <t>Киллин</t>
  </si>
  <si>
    <t>Кингспорт</t>
  </si>
  <si>
    <t>Киссимми</t>
  </si>
  <si>
    <t>Кларксвилл</t>
  </si>
  <si>
    <t>Кливленд</t>
  </si>
  <si>
    <t>Клируотер</t>
  </si>
  <si>
    <t>Клифтон</t>
  </si>
  <si>
    <t>Кловис</t>
  </si>
  <si>
    <t>Колдуэлл</t>
  </si>
  <si>
    <t>Колледж-Стейшен</t>
  </si>
  <si>
    <t>Колорадо-Спрингс</t>
  </si>
  <si>
    <t>Колтон</t>
  </si>
  <si>
    <t>Колумбус</t>
  </si>
  <si>
    <t>Комптон</t>
  </si>
  <si>
    <t>Кони-Айленд</t>
  </si>
  <si>
    <t>Конуэй</t>
  </si>
  <si>
    <t>Корал-Спрингс</t>
  </si>
  <si>
    <t>Корваллис</t>
  </si>
  <si>
    <t>Корона</t>
  </si>
  <si>
    <t>Корпус-Кристи</t>
  </si>
  <si>
    <t>Коста-Меса</t>
  </si>
  <si>
    <t>Крэнстон</t>
  </si>
  <si>
    <t>Куинси</t>
  </si>
  <si>
    <t>Кун-Рапидс</t>
  </si>
  <si>
    <t>Купертино</t>
  </si>
  <si>
    <t>Кэри</t>
  </si>
  <si>
    <t>Ла-Кросс</t>
  </si>
  <si>
    <t>Лаббок</t>
  </si>
  <si>
    <t>Ланкастер</t>
  </si>
  <si>
    <t>Лансинг</t>
  </si>
  <si>
    <t>Ларедо</t>
  </si>
  <si>
    <t>Лас-Вегас</t>
  </si>
  <si>
    <t>Лас-Крусес</t>
  </si>
  <si>
    <t>Лафайет</t>
  </si>
  <si>
    <t>Лафейетт</t>
  </si>
  <si>
    <t>Лейк-Хавасу-Сити</t>
  </si>
  <si>
    <t>Лейк-Чарльз</t>
  </si>
  <si>
    <t>Лейк-Элсинор</t>
  </si>
  <si>
    <t>Лейквилл</t>
  </si>
  <si>
    <t>Лейквуд</t>
  </si>
  <si>
    <t>Лейкленд</t>
  </si>
  <si>
    <t>Лейтон</t>
  </si>
  <si>
    <t>Лексингтон</t>
  </si>
  <si>
    <t>Лехе</t>
  </si>
  <si>
    <t>Ливермор</t>
  </si>
  <si>
    <t>Ливония</t>
  </si>
  <si>
    <t>Линвуд</t>
  </si>
  <si>
    <t>Линкольн</t>
  </si>
  <si>
    <t>Линн</t>
  </si>
  <si>
    <t>Линчберг</t>
  </si>
  <si>
    <t>Литл-Рок</t>
  </si>
  <si>
    <t>Лоди</t>
  </si>
  <si>
    <t>Лонг-Бич</t>
  </si>
  <si>
    <t>Лонгвью</t>
  </si>
  <si>
    <t>Лонгмонт</t>
  </si>
  <si>
    <t>Лорейн</t>
  </si>
  <si>
    <t>Лоуренс</t>
  </si>
  <si>
    <t>Лоутон</t>
  </si>
  <si>
    <t>Лоуэлл</t>
  </si>
  <si>
    <t>Луисвилл</t>
  </si>
  <si>
    <t>Льюисвилл</t>
  </si>
  <si>
    <t>Мадера</t>
  </si>
  <si>
    <t>Майами</t>
  </si>
  <si>
    <t>Майами-Бич</t>
  </si>
  <si>
    <t>Майами-Гарденс</t>
  </si>
  <si>
    <t>Мак-Аллен</t>
  </si>
  <si>
    <t>Мак-Кинни</t>
  </si>
  <si>
    <t>Манси</t>
  </si>
  <si>
    <t>Манхеттен</t>
  </si>
  <si>
    <t>Манхэттен</t>
  </si>
  <si>
    <t>Манчестер</t>
  </si>
  <si>
    <t>Мариетта</t>
  </si>
  <si>
    <t>Маунт-Вернон</t>
  </si>
  <si>
    <t>Маунтин-Вью</t>
  </si>
  <si>
    <t>Медфорд</t>
  </si>
  <si>
    <t>Мейкон</t>
  </si>
  <si>
    <t>Мейпл-Гров</t>
  </si>
  <si>
    <t>Мериден</t>
  </si>
  <si>
    <t>Меридиан</t>
  </si>
  <si>
    <t>Мерсед</t>
  </si>
  <si>
    <t>Меса</t>
  </si>
  <si>
    <t>Мескит</t>
  </si>
  <si>
    <t>Мидленд</t>
  </si>
  <si>
    <t>Мидуэст-Сити</t>
  </si>
  <si>
    <t>Милуоки</t>
  </si>
  <si>
    <t>Милфорд</t>
  </si>
  <si>
    <t>Миннетонка</t>
  </si>
  <si>
    <t>Мирамар</t>
  </si>
  <si>
    <t>Миссия</t>
  </si>
  <si>
    <t>Миссула</t>
  </si>
  <si>
    <t>Мишен-Вьехо</t>
  </si>
  <si>
    <t>Мобил</t>
  </si>
  <si>
    <t>Модесто</t>
  </si>
  <si>
    <t>Монтгомери</t>
  </si>
  <si>
    <t>Монтебелло</t>
  </si>
  <si>
    <t>Монтпилиер</t>
  </si>
  <si>
    <t>Морено-Валли</t>
  </si>
  <si>
    <t>Мур</t>
  </si>
  <si>
    <t>Мурфрисборо</t>
  </si>
  <si>
    <t>Мэнсфилд</t>
  </si>
  <si>
    <t>Нампа</t>
  </si>
  <si>
    <t>Напа</t>
  </si>
  <si>
    <t>Нашвилл</t>
  </si>
  <si>
    <t>Нашуа</t>
  </si>
  <si>
    <t>Новато</t>
  </si>
  <si>
    <t>Новый</t>
  </si>
  <si>
    <t>Новый Орлеан</t>
  </si>
  <si>
    <t>Ноксвилл</t>
  </si>
  <si>
    <t>Нормальная</t>
  </si>
  <si>
    <t>Норман</t>
  </si>
  <si>
    <t>Норт-Лас-Вегас</t>
  </si>
  <si>
    <t>Норт-Литл-Рок</t>
  </si>
  <si>
    <t>Норт-Чарлстон</t>
  </si>
  <si>
    <t>Норуолк</t>
  </si>
  <si>
    <t>Норфолк</t>
  </si>
  <si>
    <t>Нью-Бедфорд</t>
  </si>
  <si>
    <t>Нью-Брансуик</t>
  </si>
  <si>
    <t>Нью-Браунфелс</t>
  </si>
  <si>
    <t>Нью-Бритен</t>
  </si>
  <si>
    <t>Нью-Рошель</t>
  </si>
  <si>
    <t>Нью-Хейвен</t>
  </si>
  <si>
    <t>Ньюарк</t>
  </si>
  <si>
    <t>Ньюпорт-Ньюс</t>
  </si>
  <si>
    <t>Ньютон</t>
  </si>
  <si>
    <t>О-Клэр</t>
  </si>
  <si>
    <t>Оберн</t>
  </si>
  <si>
    <t>Овенсборо</t>
  </si>
  <si>
    <t>Оверленд-Парк</t>
  </si>
  <si>
    <t>Огаста</t>
  </si>
  <si>
    <t>Огден</t>
  </si>
  <si>
    <t>Одесса</t>
  </si>
  <si>
    <t>Окала</t>
  </si>
  <si>
    <t>Оклахома Сити</t>
  </si>
  <si>
    <t>Окленд</t>
  </si>
  <si>
    <t>Окснард</t>
  </si>
  <si>
    <t>Олейт</t>
  </si>
  <si>
    <t>Олимпия</t>
  </si>
  <si>
    <t>Омаха</t>
  </si>
  <si>
    <t>Онтэрио</t>
  </si>
  <si>
    <t>Ориндж</t>
  </si>
  <si>
    <t>Орландо</t>
  </si>
  <si>
    <t>Орора</t>
  </si>
  <si>
    <t>Остин</t>
  </si>
  <si>
    <t>Оук-Парк</t>
  </si>
  <si>
    <t>Оушенсайд</t>
  </si>
  <si>
    <t>Ошкош</t>
  </si>
  <si>
    <t>Палатин</t>
  </si>
  <si>
    <t>Палм-Бей</t>
  </si>
  <si>
    <t>Палм-Бич-Гарденс</t>
  </si>
  <si>
    <t>Палм-Дезерт</t>
  </si>
  <si>
    <t>Палм-Харбор</t>
  </si>
  <si>
    <t>Палмдейл</t>
  </si>
  <si>
    <t>Пало-Альто</t>
  </si>
  <si>
    <t>Парадайз</t>
  </si>
  <si>
    <t>Парма</t>
  </si>
  <si>
    <t>Парсиппани</t>
  </si>
  <si>
    <t>Пасадина</t>
  </si>
  <si>
    <t>Патерсон</t>
  </si>
  <si>
    <t>Пемброк-Пайнс</t>
  </si>
  <si>
    <t>Пенсакола</t>
  </si>
  <si>
    <t>Пеория</t>
  </si>
  <si>
    <t>Перрис</t>
  </si>
  <si>
    <t>Песко</t>
  </si>
  <si>
    <t>Петалума</t>
  </si>
  <si>
    <t>Пибоди</t>
  </si>
  <si>
    <t>Пирр</t>
  </si>
  <si>
    <t>Питтсбург</t>
  </si>
  <si>
    <t>Плантейшн</t>
  </si>
  <si>
    <t>Плезантон</t>
  </si>
  <si>
    <t>Плейно</t>
  </si>
  <si>
    <t>Плейнфилд</t>
  </si>
  <si>
    <t>Плимут</t>
  </si>
  <si>
    <t>Покателло</t>
  </si>
  <si>
    <t>Помона</t>
  </si>
  <si>
    <t>Помпано-Бич</t>
  </si>
  <si>
    <t>Понтиак</t>
  </si>
  <si>
    <t>Порт-Артур</t>
  </si>
  <si>
    <t>Порт-Шарлотт</t>
  </si>
  <si>
    <t>Портсмут</t>
  </si>
  <si>
    <t>Потакет</t>
  </si>
  <si>
    <t>Провиденс</t>
  </si>
  <si>
    <t>Прово</t>
  </si>
  <si>
    <t>Пуэбло</t>
  </si>
  <si>
    <t>Пэрленд</t>
  </si>
  <si>
    <t>Ранчо-Кукамонга</t>
  </si>
  <si>
    <t>Рапид-Сити</t>
  </si>
  <si>
    <t>Расин</t>
  </si>
  <si>
    <t>Раунд-Рок</t>
  </si>
  <si>
    <t>Редвуд-Сити</t>
  </si>
  <si>
    <t>Реддинг</t>
  </si>
  <si>
    <t>Рединг</t>
  </si>
  <si>
    <t>Редлендс</t>
  </si>
  <si>
    <t>Редмонд</t>
  </si>
  <si>
    <t>Редондо-Бич</t>
  </si>
  <si>
    <t>Рентон</t>
  </si>
  <si>
    <t>Рестон</t>
  </si>
  <si>
    <t>Риальто</t>
  </si>
  <si>
    <t>Ривервью</t>
  </si>
  <si>
    <t>Риверсайд</t>
  </si>
  <si>
    <t>Рино</t>
  </si>
  <si>
    <t>Рио-Ранчо</t>
  </si>
  <si>
    <t>Ричленд</t>
  </si>
  <si>
    <t>Ричмонд</t>
  </si>
  <si>
    <t>Роанок</t>
  </si>
  <si>
    <t>Роджерс</t>
  </si>
  <si>
    <t>Розвилл</t>
  </si>
  <si>
    <t>Роквилл</t>
  </si>
  <si>
    <t>Роки-Маунт</t>
  </si>
  <si>
    <t>Роклин</t>
  </si>
  <si>
    <t>Рокфорд</t>
  </si>
  <si>
    <t>Роли</t>
  </si>
  <si>
    <t>Саванна</t>
  </si>
  <si>
    <t>Сакраменто</t>
  </si>
  <si>
    <t>Салинас</t>
  </si>
  <si>
    <t>Сан Леандро</t>
  </si>
  <si>
    <t>Сан-Анджело</t>
  </si>
  <si>
    <t>Сан-Антонио</t>
  </si>
  <si>
    <t>Сан-Бернардино</t>
  </si>
  <si>
    <t>Сан-Диего</t>
  </si>
  <si>
    <t>Сан-Клементе</t>
  </si>
  <si>
    <t>Сан-Маркос</t>
  </si>
  <si>
    <t>Сан-Матео</t>
  </si>
  <si>
    <t>Сан-Рамон</t>
  </si>
  <si>
    <t>Сан-Рафел</t>
  </si>
  <si>
    <t>Сан-Хосе</t>
  </si>
  <si>
    <t>Санди-Спрингс</t>
  </si>
  <si>
    <t>Саннивейл</t>
  </si>
  <si>
    <t>Санрайз-Мэнер</t>
  </si>
  <si>
    <t>Санта-Ана</t>
  </si>
  <si>
    <t>Санта-Барбара</t>
  </si>
  <si>
    <t>Санта-Клара</t>
  </si>
  <si>
    <t>Санта-Кларита</t>
  </si>
  <si>
    <t>Санта-Крус</t>
  </si>
  <si>
    <t>Санта-Мария</t>
  </si>
  <si>
    <t>Санта-Моника</t>
  </si>
  <si>
    <t>Санта-Роза</t>
  </si>
  <si>
    <t>Санта-Фе</t>
  </si>
  <si>
    <t>Санти</t>
  </si>
  <si>
    <t>Сарасота</t>
  </si>
  <si>
    <t>Саут-Бенд</t>
  </si>
  <si>
    <t>Саут-Джордан</t>
  </si>
  <si>
    <t>Саффолк</t>
  </si>
  <si>
    <t>Сейлем</t>
  </si>
  <si>
    <t>Сейнт Питерс</t>
  </si>
  <si>
    <t>Сент-Джозеф</t>
  </si>
  <si>
    <t>Сент-Луис</t>
  </si>
  <si>
    <t>Сент-Пол</t>
  </si>
  <si>
    <t>Сент-Чарльз</t>
  </si>
  <si>
    <t>Сентенниал</t>
  </si>
  <si>
    <t>Сидар-Рапидс</t>
  </si>
  <si>
    <t>Силвер-Спринг</t>
  </si>
  <si>
    <t>Сими-Вэлли</t>
  </si>
  <si>
    <t>Сиракьюс</t>
  </si>
  <si>
    <t>Скенектади</t>
  </si>
  <si>
    <t>Скоки</t>
  </si>
  <si>
    <t>Скоттсдейл</t>
  </si>
  <si>
    <t>Скрантон</t>
  </si>
  <si>
    <t>Смирна</t>
  </si>
  <si>
    <t>Солт-Лейк-Сити</t>
  </si>
  <si>
    <t>Сомервилл</t>
  </si>
  <si>
    <t>Сото</t>
  </si>
  <si>
    <t>Спаркс</t>
  </si>
  <si>
    <t>Спокан</t>
  </si>
  <si>
    <t>Спринг-Вэлли</t>
  </si>
  <si>
    <t>Спринг-Хилл</t>
  </si>
  <si>
    <t>Спрингдейл</t>
  </si>
  <si>
    <t>Стамфорд</t>
  </si>
  <si>
    <t>Стерлинг-Хайтс</t>
  </si>
  <si>
    <t>Стоктон</t>
  </si>
  <si>
    <t>Стратфорд</t>
  </si>
  <si>
    <t>Су-Сити</t>
  </si>
  <si>
    <t>Су-Фолс</t>
  </si>
  <si>
    <t>Сюрприз</t>
  </si>
  <si>
    <t>Тайлер</t>
  </si>
  <si>
    <t>Такома</t>
  </si>
  <si>
    <t>Таллахасси</t>
  </si>
  <si>
    <t>Талса</t>
  </si>
  <si>
    <t>Тампа</t>
  </si>
  <si>
    <t>Таскалуса</t>
  </si>
  <si>
    <t>Таузенд-Оукс</t>
  </si>
  <si>
    <t>Те-Виллиджис</t>
  </si>
  <si>
    <t>Тейлор</t>
  </si>
  <si>
    <t>Тейлорсвилл</t>
  </si>
  <si>
    <t>Темекула</t>
  </si>
  <si>
    <t>Темпе</t>
  </si>
  <si>
    <t>Терре-Хот</t>
  </si>
  <si>
    <t>Толидо</t>
  </si>
  <si>
    <t>Тонтон</t>
  </si>
  <si>
    <t>Топика</t>
  </si>
  <si>
    <t>Торнтон</t>
  </si>
  <si>
    <t>Торранс</t>
  </si>
  <si>
    <t>Трейси</t>
  </si>
  <si>
    <t>Трентон</t>
  </si>
  <si>
    <t>Тулар</t>
  </si>
  <si>
    <t>Тусон</t>
  </si>
  <si>
    <t>Уайт-Плейнс</t>
  </si>
  <si>
    <t>Уилмингтон</t>
  </si>
  <si>
    <t>Уинстон-Сейлем</t>
  </si>
  <si>
    <t>Уитон</t>
  </si>
  <si>
    <t>Уичито</t>
  </si>
  <si>
    <t>Уичито-Фолс</t>
  </si>
  <si>
    <t>Уокиган</t>
  </si>
  <si>
    <t>Уокиша</t>
  </si>
  <si>
    <t>Уолнат-Крик</t>
  </si>
  <si>
    <t>Уолтем</t>
  </si>
  <si>
    <t>Уорик</t>
  </si>
  <si>
    <t>Уорнер-Робинс</t>
  </si>
  <si>
    <t>Уоррен</t>
  </si>
  <si>
    <t>Уотербери</t>
  </si>
  <si>
    <t>Уэйко</t>
  </si>
  <si>
    <t>Уэст-Валли-Сити</t>
  </si>
  <si>
    <t>Уэст-Ковина</t>
  </si>
  <si>
    <t>Уэст-Палм-Бич</t>
  </si>
  <si>
    <t>Уэст-Хейвен</t>
  </si>
  <si>
    <t>Уэстон</t>
  </si>
  <si>
    <t>Фарго</t>
  </si>
  <si>
    <t>Фарра</t>
  </si>
  <si>
    <t>Фейетвилл</t>
  </si>
  <si>
    <t>Финикс</t>
  </si>
  <si>
    <t>Флагстафф</t>
  </si>
  <si>
    <t>Флинт</t>
  </si>
  <si>
    <t>Фолл-Ривер</t>
  </si>
  <si>
    <t>Фонтана</t>
  </si>
  <si>
    <t>Форт Майерс</t>
  </si>
  <si>
    <t>Форт-Коллинс</t>
  </si>
  <si>
    <t>Форт-Смит</t>
  </si>
  <si>
    <t>Форт-Уэйн</t>
  </si>
  <si>
    <t>Франклин</t>
  </si>
  <si>
    <t>Франкфурт</t>
  </si>
  <si>
    <t>Фредерик</t>
  </si>
  <si>
    <t>Фресно</t>
  </si>
  <si>
    <t>Фриско</t>
  </si>
  <si>
    <t>Фуллертон</t>
  </si>
  <si>
    <t>Фэрфилд</t>
  </si>
  <si>
    <t>Хаверхилл</t>
  </si>
  <si>
    <t>Хай-Пойнт</t>
  </si>
  <si>
    <t>Хайалиа</t>
  </si>
  <si>
    <t>Хаммонд</t>
  </si>
  <si>
    <t>Хантингтон-Бич</t>
  </si>
  <si>
    <t>Хантингтон-Парк</t>
  </si>
  <si>
    <t>Хантсвилл</t>
  </si>
  <si>
    <t>Харлинген</t>
  </si>
  <si>
    <t>Хартфорд</t>
  </si>
  <si>
    <t>Хейвард</t>
  </si>
  <si>
    <t>Хелена</t>
  </si>
  <si>
    <t>Хемет</t>
  </si>
  <si>
    <t>Хемпстед</t>
  </si>
  <si>
    <t>Хилсборо</t>
  </si>
  <si>
    <t>Хобокен</t>
  </si>
  <si>
    <t>Холливуд</t>
  </si>
  <si>
    <t>Хомстед</t>
  </si>
  <si>
    <t>Хэмптон</t>
  </si>
  <si>
    <t>Хэнфорд</t>
  </si>
  <si>
    <t>Цинциннати</t>
  </si>
  <si>
    <t>Цицерон</t>
  </si>
  <si>
    <t>Чандлер</t>
  </si>
  <si>
    <t>Чарлстон</t>
  </si>
  <si>
    <t>Чаттануга</t>
  </si>
  <si>
    <t>Чесапик</t>
  </si>
  <si>
    <t>Чико</t>
  </si>
  <si>
    <t>Чикопи</t>
  </si>
  <si>
    <t>Чино</t>
  </si>
  <si>
    <t>Чула-Виста</t>
  </si>
  <si>
    <t>Шайенн</t>
  </si>
  <si>
    <t>Шампейн</t>
  </si>
  <si>
    <t>Шарлотт</t>
  </si>
  <si>
    <t>Шаумбург</t>
  </si>
  <si>
    <t>Шони</t>
  </si>
  <si>
    <t>Шривпорт</t>
  </si>
  <si>
    <t>Шугар-Ленд</t>
  </si>
  <si>
    <t>Эвансвилл</t>
  </si>
  <si>
    <t>Эванстон</t>
  </si>
  <si>
    <t>Эверетт</t>
  </si>
  <si>
    <t>Эдинбург</t>
  </si>
  <si>
    <t>Эдисон</t>
  </si>
  <si>
    <t>Эдмонт</t>
  </si>
  <si>
    <t>Эймса</t>
  </si>
  <si>
    <t>Элджин</t>
  </si>
  <si>
    <t>Элизабет</t>
  </si>
  <si>
    <t>Элирия</t>
  </si>
  <si>
    <t>Элк-Гров</t>
  </si>
  <si>
    <t>Элкхарт</t>
  </si>
  <si>
    <t>Эль-Кахон</t>
  </si>
  <si>
    <t>Эль-Монте</t>
  </si>
  <si>
    <t>Эль-Пасо</t>
  </si>
  <si>
    <t>Энид</t>
  </si>
  <si>
    <t>Энн-Арбор</t>
  </si>
  <si>
    <t>Энсинитас</t>
  </si>
  <si>
    <t>Эпл-Валли</t>
  </si>
  <si>
    <t>Эри</t>
  </si>
  <si>
    <t>Эскондидо</t>
  </si>
  <si>
    <t>Эшвилл</t>
  </si>
  <si>
    <t>Юба-Сити</t>
  </si>
  <si>
    <t>Юджин</t>
  </si>
  <si>
    <t>Юма</t>
  </si>
  <si>
    <t>Юнион-Сити</t>
  </si>
  <si>
    <t>Юпитер</t>
  </si>
  <si>
    <t>Ютика</t>
  </si>
  <si>
    <t>Якима</t>
  </si>
  <si>
    <t>Янгстаун</t>
  </si>
  <si>
    <t>Обувь на каблуке</t>
  </si>
  <si>
    <t>Количество проданных единиц</t>
  </si>
  <si>
    <t>Цена за единицу, USD</t>
  </si>
  <si>
    <t>Себестоимость за единицу, USD</t>
  </si>
  <si>
    <t>Выручка, USD</t>
  </si>
  <si>
    <t>Выручка после учета скидки,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</si>
</sst>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d\.m"/>
    <numFmt numFmtId="167" formatCode="dd\.mm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/>
    <xf numFmtId="0" fontId="4" fillId="0" borderId="1" xfId="0" applyFont="1" applyBorder="1" applyAlignment="1"/>
    <xf numFmtId="9" fontId="5" fillId="0" borderId="1" xfId="1" applyFont="1" applyBorder="1"/>
    <xf numFmtId="1" fontId="5" fillId="0" borderId="1" xfId="1" applyNumberFormat="1" applyFont="1" applyBorder="1"/>
    <xf numFmtId="0" fontId="5" fillId="0" borderId="1" xfId="0" applyFont="1" applyBorder="1" applyAlignment="1"/>
    <xf numFmtId="1" fontId="4" fillId="0" borderId="1" xfId="0" applyNumberFormat="1" applyFont="1" applyBorder="1" applyAlignment="1"/>
    <xf numFmtId="14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/>
    <xf numFmtId="2" fontId="4" fillId="0" borderId="1" xfId="0" applyNumberFormat="1" applyFont="1" applyBorder="1" applyAlignment="1">
      <alignment horizontal="right"/>
    </xf>
    <xf numFmtId="9" fontId="4" fillId="0" borderId="1" xfId="1" applyFont="1" applyBorder="1" applyAlignment="1">
      <alignment horizontal="righ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5"/>
  <sheetViews>
    <sheetView tabSelected="1" zoomScaleNormal="100" workbookViewId="0">
      <selection activeCell="J2" sqref="J2"/>
    </sheetView>
  </sheetViews>
  <sheetFormatPr defaultColWidth="12.5703125" defaultRowHeight="15.75" customHeight="1" x14ac:dyDescent="0.2"/>
  <cols>
    <col min="1" max="1" width="12.5703125" style="12"/>
    <col min="2" max="2" width="20.42578125" customWidth="1"/>
    <col min="3" max="3" width="21" customWidth="1"/>
    <col min="5" max="5" width="11" customWidth="1"/>
    <col min="6" max="6" width="18.7109375" customWidth="1"/>
    <col min="7" max="7" width="19.85546875" customWidth="1"/>
    <col min="8" max="8" width="15.140625" customWidth="1"/>
    <col min="9" max="9" width="20.140625" customWidth="1"/>
    <col min="11" max="11" width="15.85546875" customWidth="1"/>
    <col min="19" max="19" width="25.85546875" customWidth="1"/>
  </cols>
  <sheetData>
    <row r="1" spans="1:15" s="10" customFormat="1" ht="38.2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11" t="s">
        <v>764</v>
      </c>
      <c r="K1" s="9" t="s">
        <v>765</v>
      </c>
      <c r="L1" s="9" t="s">
        <v>763</v>
      </c>
      <c r="M1" s="9" t="s">
        <v>766</v>
      </c>
      <c r="N1" s="9" t="s">
        <v>10</v>
      </c>
      <c r="O1" s="9" t="s">
        <v>767</v>
      </c>
    </row>
    <row r="2" spans="1:15" ht="15.75" customHeight="1" x14ac:dyDescent="0.2">
      <c r="A2" s="20">
        <v>44197</v>
      </c>
      <c r="B2" s="13" t="s">
        <v>11</v>
      </c>
      <c r="C2" s="13" t="s">
        <v>12</v>
      </c>
      <c r="D2" s="14">
        <f>VLOOKUP(C2,координаты!$A$1:$C$656,2,FALSE)</f>
        <v>34.049999999999997</v>
      </c>
      <c r="E2" s="21">
        <f>VLOOKUP(C2,координаты!$A$1:$C$656,3,FALSE)</f>
        <v>-118.24</v>
      </c>
      <c r="F2" s="18" t="s">
        <v>14</v>
      </c>
      <c r="G2" s="13" t="s">
        <v>15</v>
      </c>
      <c r="H2" s="13" t="s">
        <v>16</v>
      </c>
      <c r="I2" s="13" t="s">
        <v>17</v>
      </c>
      <c r="J2" s="15">
        <v>40</v>
      </c>
      <c r="K2" s="15">
        <v>21</v>
      </c>
      <c r="L2" s="22">
        <v>16</v>
      </c>
      <c r="M2" s="14">
        <f>J2*L2</f>
        <v>640</v>
      </c>
      <c r="N2" s="23">
        <v>0</v>
      </c>
      <c r="O2" s="17">
        <f>M2*(1-N2)</f>
        <v>640</v>
      </c>
    </row>
    <row r="3" spans="1:15" ht="15.75" customHeight="1" x14ac:dyDescent="0.2">
      <c r="A3" s="20">
        <v>44197</v>
      </c>
      <c r="B3" s="13" t="s">
        <v>11</v>
      </c>
      <c r="C3" s="13" t="s">
        <v>70</v>
      </c>
      <c r="D3" s="14">
        <f>VLOOKUP(C3,координаты!$A$1:$C$656,2,FALSE)</f>
        <v>32.299999999999997</v>
      </c>
      <c r="E3" s="21">
        <f>VLOOKUP(C3,координаты!$A$1:$C$656,3,FALSE)</f>
        <v>-90.18</v>
      </c>
      <c r="F3" s="13" t="s">
        <v>25</v>
      </c>
      <c r="G3" s="13" t="s">
        <v>72</v>
      </c>
      <c r="H3" s="13" t="s">
        <v>16</v>
      </c>
      <c r="I3" s="18" t="s">
        <v>41</v>
      </c>
      <c r="J3" s="15">
        <v>400</v>
      </c>
      <c r="K3" s="15">
        <v>257</v>
      </c>
      <c r="L3" s="22">
        <v>56</v>
      </c>
      <c r="M3" s="14">
        <f>J3*L3</f>
        <v>22400</v>
      </c>
      <c r="N3" s="23">
        <v>0.1</v>
      </c>
      <c r="O3" s="17">
        <f>M3*(1-N3)</f>
        <v>20160</v>
      </c>
    </row>
    <row r="4" spans="1:15" ht="15.75" customHeight="1" x14ac:dyDescent="0.2">
      <c r="A4" s="20">
        <v>44531</v>
      </c>
      <c r="B4" s="13" t="s">
        <v>11</v>
      </c>
      <c r="C4" s="13" t="s">
        <v>105</v>
      </c>
      <c r="D4" s="14">
        <f>VLOOKUP(C4,координаты!$A$1:$C$656,2,FALSE)</f>
        <v>28.08</v>
      </c>
      <c r="E4" s="21">
        <f>VLOOKUP(C4,координаты!$A$1:$C$656,3,FALSE)</f>
        <v>-80.61</v>
      </c>
      <c r="F4" s="18" t="s">
        <v>19</v>
      </c>
      <c r="G4" s="13" t="s">
        <v>107</v>
      </c>
      <c r="H4" s="13" t="s">
        <v>16</v>
      </c>
      <c r="I4" s="13" t="s">
        <v>17</v>
      </c>
      <c r="J4" s="15">
        <v>41</v>
      </c>
      <c r="K4" s="15">
        <v>18</v>
      </c>
      <c r="L4" s="22">
        <v>16</v>
      </c>
      <c r="M4" s="14">
        <f>J4*L4</f>
        <v>656</v>
      </c>
      <c r="N4" s="23">
        <v>0.2</v>
      </c>
      <c r="O4" s="17">
        <f>M4*(1-N4)</f>
        <v>524.80000000000007</v>
      </c>
    </row>
    <row r="5" spans="1:15" ht="15.75" customHeight="1" x14ac:dyDescent="0.2">
      <c r="A5" s="20">
        <v>44531</v>
      </c>
      <c r="B5" s="13" t="s">
        <v>11</v>
      </c>
      <c r="C5" s="13" t="s">
        <v>12</v>
      </c>
      <c r="D5" s="14">
        <f>VLOOKUP(C5,координаты!$A$1:$C$656,2,FALSE)</f>
        <v>34.049999999999997</v>
      </c>
      <c r="E5" s="21">
        <f>VLOOKUP(C5,координаты!$A$1:$C$656,3,FALSE)</f>
        <v>-118.24</v>
      </c>
      <c r="F5" s="18" t="s">
        <v>14</v>
      </c>
      <c r="G5" s="13" t="s">
        <v>171</v>
      </c>
      <c r="H5" s="13" t="s">
        <v>32</v>
      </c>
      <c r="I5" s="13" t="s">
        <v>59</v>
      </c>
      <c r="J5" s="15">
        <v>32</v>
      </c>
      <c r="K5" s="15">
        <v>14</v>
      </c>
      <c r="L5" s="22">
        <v>24</v>
      </c>
      <c r="M5" s="14">
        <f>J5*L5</f>
        <v>768</v>
      </c>
      <c r="N5" s="23">
        <v>0.2</v>
      </c>
      <c r="O5" s="17">
        <f>M5*(1-N5)</f>
        <v>614.40000000000009</v>
      </c>
    </row>
    <row r="6" spans="1:15" ht="15.75" customHeight="1" x14ac:dyDescent="0.2">
      <c r="A6" s="20">
        <v>44531</v>
      </c>
      <c r="B6" s="13" t="s">
        <v>11</v>
      </c>
      <c r="C6" s="13" t="s">
        <v>38</v>
      </c>
      <c r="D6" s="14">
        <f>VLOOKUP(C6,координаты!$A$1:$C$656,2,FALSE)</f>
        <v>29.76</v>
      </c>
      <c r="E6" s="21">
        <f>VLOOKUP(C6,координаты!$A$1:$C$656,3,FALSE)</f>
        <v>-95.36</v>
      </c>
      <c r="F6" s="13" t="s">
        <v>25</v>
      </c>
      <c r="G6" s="13" t="s">
        <v>76</v>
      </c>
      <c r="H6" s="13" t="s">
        <v>21</v>
      </c>
      <c r="I6" s="13" t="s">
        <v>22</v>
      </c>
      <c r="J6" s="15">
        <v>58</v>
      </c>
      <c r="K6" s="15">
        <v>24</v>
      </c>
      <c r="L6" s="22">
        <v>32</v>
      </c>
      <c r="M6" s="14">
        <f>J6*L6</f>
        <v>1856</v>
      </c>
      <c r="N6" s="23">
        <v>0.2</v>
      </c>
      <c r="O6" s="17">
        <f>M6*(1-N6)</f>
        <v>1484.8000000000002</v>
      </c>
    </row>
    <row r="7" spans="1:15" ht="15.75" customHeight="1" x14ac:dyDescent="0.2">
      <c r="A7" s="20">
        <v>44531</v>
      </c>
      <c r="B7" s="13" t="s">
        <v>11</v>
      </c>
      <c r="C7" s="13" t="s">
        <v>102</v>
      </c>
      <c r="D7" s="14">
        <f>VLOOKUP(C7,координаты!$A$1:$C$656,2,FALSE)</f>
        <v>37.770000000000003</v>
      </c>
      <c r="E7" s="21">
        <f>VLOOKUP(C7,координаты!$A$1:$C$656,3,FALSE)</f>
        <v>-122.42</v>
      </c>
      <c r="F7" s="18" t="s">
        <v>14</v>
      </c>
      <c r="G7" s="13" t="s">
        <v>111</v>
      </c>
      <c r="H7" s="13" t="s">
        <v>21</v>
      </c>
      <c r="I7" s="13" t="s">
        <v>22</v>
      </c>
      <c r="J7" s="15">
        <v>148</v>
      </c>
      <c r="K7" s="15">
        <v>61</v>
      </c>
      <c r="L7" s="22">
        <v>16</v>
      </c>
      <c r="M7" s="14">
        <f>J7*L7</f>
        <v>2368</v>
      </c>
      <c r="N7" s="23">
        <v>0.2</v>
      </c>
      <c r="O7" s="17">
        <f>M7*(1-N7)</f>
        <v>1894.4</v>
      </c>
    </row>
    <row r="8" spans="1:15" ht="15.75" customHeight="1" x14ac:dyDescent="0.2">
      <c r="A8" s="20">
        <v>44531</v>
      </c>
      <c r="B8" s="13" t="s">
        <v>11</v>
      </c>
      <c r="C8" s="18" t="s">
        <v>45</v>
      </c>
      <c r="D8" s="14">
        <f>VLOOKUP(C8,координаты!$A$1:$C$656,2,FALSE)</f>
        <v>42.61</v>
      </c>
      <c r="E8" s="21">
        <f>VLOOKUP(C8,координаты!$A$1:$C$656,3,FALSE)</f>
        <v>-83.15</v>
      </c>
      <c r="F8" s="18" t="s">
        <v>19</v>
      </c>
      <c r="G8" s="13" t="s">
        <v>53</v>
      </c>
      <c r="H8" s="13" t="s">
        <v>16</v>
      </c>
      <c r="I8" s="13" t="s">
        <v>36</v>
      </c>
      <c r="J8" s="15">
        <v>145</v>
      </c>
      <c r="K8" s="15">
        <v>68</v>
      </c>
      <c r="L8" s="22">
        <v>24</v>
      </c>
      <c r="M8" s="14">
        <f>J8*L8</f>
        <v>3480</v>
      </c>
      <c r="N8" s="23">
        <v>0.2</v>
      </c>
      <c r="O8" s="17">
        <f>M8*(1-N8)</f>
        <v>2784</v>
      </c>
    </row>
    <row r="9" spans="1:15" ht="15.75" customHeight="1" x14ac:dyDescent="0.2">
      <c r="A9" s="20">
        <v>44531</v>
      </c>
      <c r="B9" s="13" t="s">
        <v>11</v>
      </c>
      <c r="C9" s="18" t="s">
        <v>45</v>
      </c>
      <c r="D9" s="14">
        <f>VLOOKUP(C9,координаты!$A$1:$C$656,2,FALSE)</f>
        <v>42.61</v>
      </c>
      <c r="E9" s="21">
        <f>VLOOKUP(C9,координаты!$A$1:$C$656,3,FALSE)</f>
        <v>-83.15</v>
      </c>
      <c r="F9" s="18" t="s">
        <v>19</v>
      </c>
      <c r="G9" s="13" t="s">
        <v>47</v>
      </c>
      <c r="H9" s="13" t="s">
        <v>16</v>
      </c>
      <c r="I9" s="18" t="s">
        <v>41</v>
      </c>
      <c r="J9" s="15">
        <v>408</v>
      </c>
      <c r="K9" s="15">
        <v>191</v>
      </c>
      <c r="L9" s="22">
        <v>24</v>
      </c>
      <c r="M9" s="14">
        <f>J9*L9</f>
        <v>9792</v>
      </c>
      <c r="N9" s="23">
        <v>0.2</v>
      </c>
      <c r="O9" s="17">
        <f>M9*(1-N9)</f>
        <v>7833.6</v>
      </c>
    </row>
    <row r="10" spans="1:15" ht="15.75" customHeight="1" x14ac:dyDescent="0.2">
      <c r="A10" s="20">
        <v>44409</v>
      </c>
      <c r="B10" s="13" t="s">
        <v>11</v>
      </c>
      <c r="C10" s="13" t="s">
        <v>38</v>
      </c>
      <c r="D10" s="14">
        <f>VLOOKUP(C10,координаты!$A$1:$C$656,2,FALSE)</f>
        <v>29.76</v>
      </c>
      <c r="E10" s="21">
        <f>VLOOKUP(C10,координаты!$A$1:$C$656,3,FALSE)</f>
        <v>-95.36</v>
      </c>
      <c r="F10" s="13" t="s">
        <v>25</v>
      </c>
      <c r="G10" s="13" t="s">
        <v>166</v>
      </c>
      <c r="H10" s="13" t="s">
        <v>32</v>
      </c>
      <c r="I10" s="13" t="s">
        <v>75</v>
      </c>
      <c r="J10" s="15">
        <v>31</v>
      </c>
      <c r="K10" s="15">
        <v>15</v>
      </c>
      <c r="L10" s="22">
        <v>16</v>
      </c>
      <c r="M10" s="14">
        <f>J10*L10</f>
        <v>496</v>
      </c>
      <c r="N10" s="23">
        <v>0.2</v>
      </c>
      <c r="O10" s="17">
        <f>M10*(1-N10)</f>
        <v>396.8</v>
      </c>
    </row>
    <row r="11" spans="1:15" ht="15.75" customHeight="1" x14ac:dyDescent="0.2">
      <c r="A11" s="20">
        <v>44409</v>
      </c>
      <c r="B11" s="13" t="s">
        <v>11</v>
      </c>
      <c r="C11" s="13" t="s">
        <v>102</v>
      </c>
      <c r="D11" s="14">
        <f>VLOOKUP(C11,координаты!$A$1:$C$656,2,FALSE)</f>
        <v>37.770000000000003</v>
      </c>
      <c r="E11" s="21">
        <f>VLOOKUP(C11,координаты!$A$1:$C$656,3,FALSE)</f>
        <v>-122.42</v>
      </c>
      <c r="F11" s="18" t="s">
        <v>14</v>
      </c>
      <c r="G11" s="13" t="s">
        <v>125</v>
      </c>
      <c r="H11" s="13" t="s">
        <v>16</v>
      </c>
      <c r="I11" s="13" t="s">
        <v>29</v>
      </c>
      <c r="J11" s="15">
        <v>62</v>
      </c>
      <c r="K11" s="15">
        <v>29</v>
      </c>
      <c r="L11" s="14">
        <v>24</v>
      </c>
      <c r="M11" s="14">
        <f>J11*L11</f>
        <v>1488</v>
      </c>
      <c r="N11" s="16">
        <v>0.2</v>
      </c>
      <c r="O11" s="17">
        <f>M11*(1-N11)</f>
        <v>1190.4000000000001</v>
      </c>
    </row>
    <row r="12" spans="1:15" ht="15.75" customHeight="1" x14ac:dyDescent="0.2">
      <c r="A12" s="20">
        <v>44409</v>
      </c>
      <c r="B12" s="13" t="s">
        <v>11</v>
      </c>
      <c r="C12" s="13" t="s">
        <v>102</v>
      </c>
      <c r="D12" s="14">
        <f>VLOOKUP(C12,координаты!$A$1:$C$656,2,FALSE)</f>
        <v>37.770000000000003</v>
      </c>
      <c r="E12" s="21">
        <f>VLOOKUP(C12,координаты!$A$1:$C$656,3,FALSE)</f>
        <v>-122.42</v>
      </c>
      <c r="F12" s="18" t="s">
        <v>14</v>
      </c>
      <c r="G12" s="13" t="s">
        <v>112</v>
      </c>
      <c r="H12" s="13" t="s">
        <v>16</v>
      </c>
      <c r="I12" s="13" t="s">
        <v>29</v>
      </c>
      <c r="J12" s="15">
        <v>80</v>
      </c>
      <c r="K12" s="15">
        <v>38</v>
      </c>
      <c r="L12" s="14">
        <v>32</v>
      </c>
      <c r="M12" s="14">
        <f>J12*L12</f>
        <v>2560</v>
      </c>
      <c r="N12" s="16">
        <v>0.2</v>
      </c>
      <c r="O12" s="17">
        <f>M12*(1-N12)</f>
        <v>2048</v>
      </c>
    </row>
    <row r="13" spans="1:15" ht="15.75" customHeight="1" x14ac:dyDescent="0.2">
      <c r="A13" s="20">
        <v>44256</v>
      </c>
      <c r="B13" s="13" t="s">
        <v>11</v>
      </c>
      <c r="C13" s="18" t="s">
        <v>113</v>
      </c>
      <c r="D13" s="14">
        <f>VLOOKUP(C13,координаты!$A$1:$C$656,2,FALSE)</f>
        <v>42.69</v>
      </c>
      <c r="E13" s="21">
        <f>VLOOKUP(C13,координаты!$A$1:$C$656,3,FALSE)</f>
        <v>-83.41</v>
      </c>
      <c r="F13" s="13" t="s">
        <v>25</v>
      </c>
      <c r="G13" s="13" t="s">
        <v>114</v>
      </c>
      <c r="H13" s="13" t="s">
        <v>16</v>
      </c>
      <c r="I13" s="13" t="s">
        <v>17</v>
      </c>
      <c r="J13" s="15">
        <v>47</v>
      </c>
      <c r="K13" s="15">
        <v>18</v>
      </c>
      <c r="L13" s="14">
        <v>32</v>
      </c>
      <c r="M13" s="14">
        <f>J13*L13</f>
        <v>1504</v>
      </c>
      <c r="N13" s="16">
        <v>0</v>
      </c>
      <c r="O13" s="17">
        <f>M13*(1-N13)</f>
        <v>1504</v>
      </c>
    </row>
    <row r="14" spans="1:15" ht="15.75" customHeight="1" x14ac:dyDescent="0.2">
      <c r="A14" s="20">
        <v>44417</v>
      </c>
      <c r="B14" s="13" t="s">
        <v>11</v>
      </c>
      <c r="C14" s="18" t="s">
        <v>118</v>
      </c>
      <c r="D14" s="14">
        <f>VLOOKUP(C14,координаты!$A$1:$C$656,2,FALSE)</f>
        <v>35.99</v>
      </c>
      <c r="E14" s="21">
        <f>VLOOKUP(C14,координаты!$A$1:$C$656,3,FALSE)</f>
        <v>-78.900000000000006</v>
      </c>
      <c r="F14" s="18" t="s">
        <v>68</v>
      </c>
      <c r="G14" s="13" t="s">
        <v>119</v>
      </c>
      <c r="H14" s="13" t="s">
        <v>16</v>
      </c>
      <c r="I14" s="13" t="s">
        <v>74</v>
      </c>
      <c r="J14" s="15">
        <v>39</v>
      </c>
      <c r="K14" s="15">
        <v>19</v>
      </c>
      <c r="L14" s="14">
        <v>56</v>
      </c>
      <c r="M14" s="14">
        <f>J14*L14</f>
        <v>2184</v>
      </c>
      <c r="N14" s="16">
        <v>0.2</v>
      </c>
      <c r="O14" s="17">
        <f>M14*(1-N14)</f>
        <v>1747.2</v>
      </c>
    </row>
    <row r="15" spans="1:15" ht="15.75" customHeight="1" x14ac:dyDescent="0.2">
      <c r="A15" s="20">
        <v>44287</v>
      </c>
      <c r="B15" s="13" t="s">
        <v>11</v>
      </c>
      <c r="C15" s="13" t="s">
        <v>147</v>
      </c>
      <c r="D15" s="14">
        <f>VLOOKUP(C15,координаты!$A$1:$C$656,2,FALSE)</f>
        <v>35.15</v>
      </c>
      <c r="E15" s="21">
        <f>VLOOKUP(C15,координаты!$A$1:$C$656,3,FALSE)</f>
        <v>-90.05</v>
      </c>
      <c r="F15" s="18" t="s">
        <v>68</v>
      </c>
      <c r="G15" s="13" t="s">
        <v>174</v>
      </c>
      <c r="H15" s="13" t="s">
        <v>32</v>
      </c>
      <c r="I15" s="13" t="s">
        <v>59</v>
      </c>
      <c r="J15" s="15">
        <v>52</v>
      </c>
      <c r="K15" s="15">
        <v>25</v>
      </c>
      <c r="L15" s="14">
        <v>16</v>
      </c>
      <c r="M15" s="14">
        <f>J15*L15</f>
        <v>832</v>
      </c>
      <c r="N15" s="16">
        <v>0.2</v>
      </c>
      <c r="O15" s="17">
        <f>M15*(1-N15)</f>
        <v>665.6</v>
      </c>
    </row>
    <row r="16" spans="1:15" ht="15.75" customHeight="1" x14ac:dyDescent="0.2">
      <c r="A16" s="20">
        <v>44287</v>
      </c>
      <c r="B16" s="13" t="s">
        <v>11</v>
      </c>
      <c r="C16" s="13" t="s">
        <v>12</v>
      </c>
      <c r="D16" s="14">
        <f>VLOOKUP(C16,координаты!$A$1:$C$656,2,FALSE)</f>
        <v>34.049999999999997</v>
      </c>
      <c r="E16" s="21">
        <f>VLOOKUP(C16,координаты!$A$1:$C$656,3,FALSE)</f>
        <v>-118.24</v>
      </c>
      <c r="F16" s="18" t="s">
        <v>14</v>
      </c>
      <c r="G16" s="13" t="s">
        <v>94</v>
      </c>
      <c r="H16" s="13" t="s">
        <v>21</v>
      </c>
      <c r="I16" s="13" t="s">
        <v>51</v>
      </c>
      <c r="J16" s="15">
        <v>74</v>
      </c>
      <c r="K16" s="15">
        <v>34</v>
      </c>
      <c r="L16" s="22">
        <v>16</v>
      </c>
      <c r="M16" s="14">
        <f>J16*L16</f>
        <v>1184</v>
      </c>
      <c r="N16" s="23">
        <v>0.2</v>
      </c>
      <c r="O16" s="17">
        <f>M16*(1-N16)</f>
        <v>947.2</v>
      </c>
    </row>
    <row r="17" spans="1:15" ht="15.75" customHeight="1" x14ac:dyDescent="0.2">
      <c r="A17" s="20">
        <v>44287</v>
      </c>
      <c r="B17" s="13" t="s">
        <v>11</v>
      </c>
      <c r="C17" s="13" t="s">
        <v>150</v>
      </c>
      <c r="D17" s="14">
        <f>VLOOKUP(C17,координаты!$A$1:$C$656,2,FALSE)</f>
        <v>39.950000000000003</v>
      </c>
      <c r="E17" s="21">
        <f>VLOOKUP(C17,координаты!$A$1:$C$656,3,FALSE)</f>
        <v>-75.16</v>
      </c>
      <c r="F17" s="18" t="s">
        <v>14</v>
      </c>
      <c r="G17" s="13" t="s">
        <v>164</v>
      </c>
      <c r="H17" s="13" t="s">
        <v>32</v>
      </c>
      <c r="I17" s="13" t="s">
        <v>59</v>
      </c>
      <c r="J17" s="15">
        <v>47</v>
      </c>
      <c r="K17" s="15">
        <v>20</v>
      </c>
      <c r="L17" s="14">
        <v>24</v>
      </c>
      <c r="M17" s="14">
        <f>J17*L17</f>
        <v>1128</v>
      </c>
      <c r="N17" s="16">
        <v>0.2</v>
      </c>
      <c r="O17" s="17">
        <f>M17*(1-N17)</f>
        <v>902.40000000000009</v>
      </c>
    </row>
    <row r="18" spans="1:15" ht="15.75" customHeight="1" x14ac:dyDescent="0.2">
      <c r="A18" s="20">
        <v>44531</v>
      </c>
      <c r="B18" s="13" t="s">
        <v>11</v>
      </c>
      <c r="C18" s="13" t="s">
        <v>12</v>
      </c>
      <c r="D18" s="14">
        <f>VLOOKUP(C18,координаты!$A$1:$C$656,2,FALSE)</f>
        <v>34.049999999999997</v>
      </c>
      <c r="E18" s="21">
        <f>VLOOKUP(C18,координаты!$A$1:$C$656,3,FALSE)</f>
        <v>-118.24</v>
      </c>
      <c r="F18" s="18" t="s">
        <v>14</v>
      </c>
      <c r="G18" s="13" t="s">
        <v>96</v>
      </c>
      <c r="H18" s="13" t="s">
        <v>16</v>
      </c>
      <c r="I18" s="18" t="s">
        <v>41</v>
      </c>
      <c r="J18" s="15">
        <v>300</v>
      </c>
      <c r="K18" s="15">
        <v>234</v>
      </c>
      <c r="L18" s="22">
        <v>24</v>
      </c>
      <c r="M18" s="14">
        <f>J18*L18</f>
        <v>7200</v>
      </c>
      <c r="N18" s="23">
        <v>0.7</v>
      </c>
      <c r="O18" s="17">
        <f>M18*(1-N18)</f>
        <v>2160.0000000000005</v>
      </c>
    </row>
    <row r="19" spans="1:15" ht="15.75" customHeight="1" x14ac:dyDescent="0.2">
      <c r="A19" s="20">
        <v>44292</v>
      </c>
      <c r="B19" s="13" t="s">
        <v>11</v>
      </c>
      <c r="C19" s="13" t="s">
        <v>83</v>
      </c>
      <c r="D19" s="14">
        <f>VLOOKUP(C19,координаты!$A$1:$C$656,2,FALSE)</f>
        <v>44.05</v>
      </c>
      <c r="E19" s="21">
        <f>VLOOKUP(C19,координаты!$A$1:$C$656,3,FALSE)</f>
        <v>-123.02</v>
      </c>
      <c r="F19" s="18" t="s">
        <v>68</v>
      </c>
      <c r="G19" s="13" t="s">
        <v>85</v>
      </c>
      <c r="H19" s="13" t="s">
        <v>16</v>
      </c>
      <c r="I19" s="18" t="s">
        <v>41</v>
      </c>
      <c r="J19" s="15">
        <v>370</v>
      </c>
      <c r="K19" s="15">
        <v>175</v>
      </c>
      <c r="L19" s="22">
        <v>40</v>
      </c>
      <c r="M19" s="14">
        <f>J19*L19</f>
        <v>14800</v>
      </c>
      <c r="N19" s="23">
        <v>0.2</v>
      </c>
      <c r="O19" s="17">
        <f>M19*(1-N19)</f>
        <v>11840</v>
      </c>
    </row>
    <row r="20" spans="1:15" ht="15.75" customHeight="1" x14ac:dyDescent="0.2">
      <c r="A20" s="20">
        <v>44317</v>
      </c>
      <c r="B20" s="13" t="s">
        <v>11</v>
      </c>
      <c r="C20" s="13" t="s">
        <v>147</v>
      </c>
      <c r="D20" s="14">
        <f>VLOOKUP(C20,координаты!$A$1:$C$656,2,FALSE)</f>
        <v>35.15</v>
      </c>
      <c r="E20" s="21">
        <f>VLOOKUP(C20,координаты!$A$1:$C$656,3,FALSE)</f>
        <v>-90.05</v>
      </c>
      <c r="F20" s="18" t="s">
        <v>68</v>
      </c>
      <c r="G20" s="13" t="s">
        <v>149</v>
      </c>
      <c r="H20" s="13" t="s">
        <v>16</v>
      </c>
      <c r="I20" s="13" t="s">
        <v>17</v>
      </c>
      <c r="J20" s="15">
        <v>36</v>
      </c>
      <c r="K20" s="15">
        <v>34</v>
      </c>
      <c r="L20" s="14">
        <v>8</v>
      </c>
      <c r="M20" s="14">
        <f>J20*L20</f>
        <v>288</v>
      </c>
      <c r="N20" s="16">
        <v>0.2</v>
      </c>
      <c r="O20" s="17">
        <f>M20*(1-N20)</f>
        <v>230.4</v>
      </c>
    </row>
    <row r="21" spans="1:15" ht="15.75" customHeight="1" x14ac:dyDescent="0.2">
      <c r="A21" s="20">
        <v>44317</v>
      </c>
      <c r="B21" s="13" t="s">
        <v>11</v>
      </c>
      <c r="C21" s="13" t="s">
        <v>108</v>
      </c>
      <c r="D21" s="14">
        <f>VLOOKUP(C21,координаты!$A$1:$C$656,2,FALSE)</f>
        <v>39.24</v>
      </c>
      <c r="E21" s="21">
        <f>VLOOKUP(C21,координаты!$A$1:$C$656,3,FALSE)</f>
        <v>-76.84</v>
      </c>
      <c r="F21" s="18" t="s">
        <v>68</v>
      </c>
      <c r="G21" s="13" t="s">
        <v>177</v>
      </c>
      <c r="H21" s="13" t="s">
        <v>32</v>
      </c>
      <c r="I21" s="13" t="s">
        <v>48</v>
      </c>
      <c r="J21" s="15">
        <v>78</v>
      </c>
      <c r="K21" s="15">
        <v>33</v>
      </c>
      <c r="L21" s="22">
        <v>48</v>
      </c>
      <c r="M21" s="14">
        <f>J21*L21</f>
        <v>3744</v>
      </c>
      <c r="N21" s="23">
        <v>0.2</v>
      </c>
      <c r="O21" s="17">
        <f>M21*(1-N21)</f>
        <v>2995.2000000000003</v>
      </c>
    </row>
    <row r="22" spans="1:15" ht="12.75" x14ac:dyDescent="0.2">
      <c r="A22" s="20">
        <v>44320</v>
      </c>
      <c r="B22" s="13" t="s">
        <v>11</v>
      </c>
      <c r="C22" s="13" t="s">
        <v>38</v>
      </c>
      <c r="D22" s="14">
        <f>VLOOKUP(C22,координаты!$A$1:$C$656,2,FALSE)</f>
        <v>29.76</v>
      </c>
      <c r="E22" s="21">
        <f>VLOOKUP(C22,координаты!$A$1:$C$656,3,FALSE)</f>
        <v>-95.36</v>
      </c>
      <c r="F22" s="13" t="s">
        <v>25</v>
      </c>
      <c r="G22" s="13" t="s">
        <v>126</v>
      </c>
      <c r="H22" s="13" t="s">
        <v>16</v>
      </c>
      <c r="I22" s="13" t="s">
        <v>17</v>
      </c>
      <c r="J22" s="15">
        <v>45</v>
      </c>
      <c r="K22" s="15">
        <v>22</v>
      </c>
      <c r="L22" s="14">
        <v>56</v>
      </c>
      <c r="M22" s="14">
        <f>J22*L22</f>
        <v>2520</v>
      </c>
      <c r="N22" s="16">
        <v>0.2</v>
      </c>
      <c r="O22" s="17">
        <f>M22*(1-N22)</f>
        <v>2016</v>
      </c>
    </row>
    <row r="23" spans="1:15" ht="12.75" x14ac:dyDescent="0.2">
      <c r="A23" s="20">
        <v>44328</v>
      </c>
      <c r="B23" s="13" t="s">
        <v>11</v>
      </c>
      <c r="C23" s="13" t="s">
        <v>33</v>
      </c>
      <c r="D23" s="14">
        <f>VLOOKUP(C23,координаты!$A$1:$C$656,2,FALSE)</f>
        <v>33.35</v>
      </c>
      <c r="E23" s="21">
        <f>VLOOKUP(C23,координаты!$A$1:$C$656,3,FALSE)</f>
        <v>-111.79</v>
      </c>
      <c r="F23" s="18" t="s">
        <v>14</v>
      </c>
      <c r="G23" s="13" t="s">
        <v>37</v>
      </c>
      <c r="H23" s="13" t="s">
        <v>21</v>
      </c>
      <c r="I23" s="13" t="s">
        <v>22</v>
      </c>
      <c r="J23" s="15">
        <v>85</v>
      </c>
      <c r="K23" s="15">
        <v>40</v>
      </c>
      <c r="L23" s="22">
        <v>8</v>
      </c>
      <c r="M23" s="14">
        <f>J23*L23</f>
        <v>680</v>
      </c>
      <c r="N23" s="23">
        <v>0</v>
      </c>
      <c r="O23" s="17">
        <f>M23*(1-N23)</f>
        <v>680</v>
      </c>
    </row>
    <row r="24" spans="1:15" ht="12.75" x14ac:dyDescent="0.2">
      <c r="A24" s="20">
        <v>44328</v>
      </c>
      <c r="B24" s="13" t="s">
        <v>11</v>
      </c>
      <c r="C24" s="13" t="s">
        <v>127</v>
      </c>
      <c r="D24" s="14">
        <f>VLOOKUP(C24,координаты!$A$1:$C$656,2,FALSE)</f>
        <v>47.61</v>
      </c>
      <c r="E24" s="21">
        <f>VLOOKUP(C24,координаты!$A$1:$C$656,3,FALSE)</f>
        <v>-122.33</v>
      </c>
      <c r="F24" s="18" t="s">
        <v>14</v>
      </c>
      <c r="G24" s="13" t="s">
        <v>129</v>
      </c>
      <c r="H24" s="13" t="s">
        <v>16</v>
      </c>
      <c r="I24" s="13" t="s">
        <v>29</v>
      </c>
      <c r="J24" s="15">
        <v>59</v>
      </c>
      <c r="K24" s="15">
        <v>24</v>
      </c>
      <c r="L24" s="14">
        <v>24</v>
      </c>
      <c r="M24" s="14">
        <f>J24*L24</f>
        <v>1416</v>
      </c>
      <c r="N24" s="16">
        <v>0.2</v>
      </c>
      <c r="O24" s="17">
        <f>M24*(1-N24)</f>
        <v>1132.8</v>
      </c>
    </row>
    <row r="25" spans="1:15" ht="12.75" x14ac:dyDescent="0.2">
      <c r="A25" s="20">
        <v>44542</v>
      </c>
      <c r="B25" s="13" t="s">
        <v>11</v>
      </c>
      <c r="C25" s="13" t="s">
        <v>33</v>
      </c>
      <c r="D25" s="14">
        <f>VLOOKUP(C25,координаты!$A$1:$C$656,2,FALSE)</f>
        <v>33.35</v>
      </c>
      <c r="E25" s="21">
        <f>VLOOKUP(C25,координаты!$A$1:$C$656,3,FALSE)</f>
        <v>-111.79</v>
      </c>
      <c r="F25" s="18" t="s">
        <v>14</v>
      </c>
      <c r="G25" s="13" t="s">
        <v>35</v>
      </c>
      <c r="H25" s="13" t="s">
        <v>16</v>
      </c>
      <c r="I25" s="13" t="s">
        <v>36</v>
      </c>
      <c r="J25" s="15">
        <v>320</v>
      </c>
      <c r="K25" s="15">
        <v>185</v>
      </c>
      <c r="L25" s="22">
        <v>40</v>
      </c>
      <c r="M25" s="14">
        <f>J25*L25</f>
        <v>12800</v>
      </c>
      <c r="N25" s="23">
        <v>0.8</v>
      </c>
      <c r="O25" s="17">
        <f>M25*(1-N25)</f>
        <v>2559.9999999999995</v>
      </c>
    </row>
    <row r="26" spans="1:15" ht="12.75" x14ac:dyDescent="0.2">
      <c r="A26" s="20">
        <v>44528</v>
      </c>
      <c r="B26" s="13" t="s">
        <v>11</v>
      </c>
      <c r="C26" s="13" t="s">
        <v>150</v>
      </c>
      <c r="D26" s="14">
        <f>VLOOKUP(C26,координаты!$A$1:$C$656,2,FALSE)</f>
        <v>39.950000000000003</v>
      </c>
      <c r="E26" s="21">
        <f>VLOOKUP(C26,координаты!$A$1:$C$656,3,FALSE)</f>
        <v>-75.16</v>
      </c>
      <c r="F26" s="18" t="s">
        <v>14</v>
      </c>
      <c r="G26" s="13" t="s">
        <v>152</v>
      </c>
      <c r="H26" s="13" t="s">
        <v>16</v>
      </c>
      <c r="I26" s="13" t="s">
        <v>29</v>
      </c>
      <c r="J26" s="15">
        <v>144</v>
      </c>
      <c r="K26" s="15">
        <v>53</v>
      </c>
      <c r="L26" s="14">
        <v>16</v>
      </c>
      <c r="M26" s="14">
        <f>J26*L26</f>
        <v>2304</v>
      </c>
      <c r="N26" s="16">
        <v>0.7</v>
      </c>
      <c r="O26" s="17">
        <f>M26*(1-N26)</f>
        <v>691.2</v>
      </c>
    </row>
    <row r="27" spans="1:15" ht="12.75" x14ac:dyDescent="0.2">
      <c r="A27" s="20">
        <v>44528</v>
      </c>
      <c r="B27" s="13" t="s">
        <v>11</v>
      </c>
      <c r="C27" s="13" t="s">
        <v>12</v>
      </c>
      <c r="D27" s="14">
        <f>VLOOKUP(C27,координаты!$A$1:$C$656,2,FALSE)</f>
        <v>34.049999999999997</v>
      </c>
      <c r="E27" s="21">
        <f>VLOOKUP(C27,координаты!$A$1:$C$656,3,FALSE)</f>
        <v>-118.24</v>
      </c>
      <c r="F27" s="18" t="s">
        <v>14</v>
      </c>
      <c r="G27" s="13" t="s">
        <v>95</v>
      </c>
      <c r="H27" s="13" t="s">
        <v>16</v>
      </c>
      <c r="I27" s="13" t="s">
        <v>29</v>
      </c>
      <c r="J27" s="15">
        <v>140</v>
      </c>
      <c r="K27" s="15">
        <v>53</v>
      </c>
      <c r="L27" s="22">
        <v>8</v>
      </c>
      <c r="M27" s="14">
        <f>J27*L27</f>
        <v>1120</v>
      </c>
      <c r="N27" s="23">
        <v>0.7</v>
      </c>
      <c r="O27" s="17">
        <f>M27*(1-N27)</f>
        <v>336.00000000000006</v>
      </c>
    </row>
    <row r="28" spans="1:15" ht="12.75" x14ac:dyDescent="0.2">
      <c r="A28" s="20">
        <v>44348</v>
      </c>
      <c r="B28" s="13" t="s">
        <v>11</v>
      </c>
      <c r="C28" s="18" t="s">
        <v>54</v>
      </c>
      <c r="D28" s="14">
        <f>VLOOKUP(C28,координаты!$A$1:$C$656,2,FALSE)</f>
        <v>42.65</v>
      </c>
      <c r="E28" s="21">
        <f>VLOOKUP(C28,координаты!$A$1:$C$656,3,FALSE)</f>
        <v>-73.760000000000005</v>
      </c>
      <c r="F28" s="13" t="s">
        <v>25</v>
      </c>
      <c r="G28" s="13" t="s">
        <v>57</v>
      </c>
      <c r="H28" s="13" t="s">
        <v>16</v>
      </c>
      <c r="I28" s="13" t="s">
        <v>58</v>
      </c>
      <c r="J28" s="15">
        <v>5</v>
      </c>
      <c r="K28" s="15">
        <v>2</v>
      </c>
      <c r="L28" s="22">
        <v>72</v>
      </c>
      <c r="M28" s="14">
        <f>J28*L28</f>
        <v>360</v>
      </c>
      <c r="N28" s="16">
        <v>0</v>
      </c>
      <c r="O28" s="17">
        <f>M28*(1-N28)</f>
        <v>360</v>
      </c>
    </row>
    <row r="29" spans="1:15" ht="12.75" x14ac:dyDescent="0.2">
      <c r="A29" s="20">
        <v>44348</v>
      </c>
      <c r="B29" s="13" t="s">
        <v>11</v>
      </c>
      <c r="C29" s="13" t="s">
        <v>38</v>
      </c>
      <c r="D29" s="14">
        <f>VLOOKUP(C29,координаты!$A$1:$C$656,2,FALSE)</f>
        <v>29.76</v>
      </c>
      <c r="E29" s="21">
        <f>VLOOKUP(C29,координаты!$A$1:$C$656,3,FALSE)</f>
        <v>-95.36</v>
      </c>
      <c r="F29" s="13" t="s">
        <v>25</v>
      </c>
      <c r="G29" s="13" t="s">
        <v>73</v>
      </c>
      <c r="H29" s="13" t="s">
        <v>16</v>
      </c>
      <c r="I29" s="13" t="s">
        <v>74</v>
      </c>
      <c r="J29" s="15">
        <v>40</v>
      </c>
      <c r="K29" s="15">
        <v>20</v>
      </c>
      <c r="L29" s="22">
        <v>8</v>
      </c>
      <c r="M29" s="14">
        <f>J29*L29</f>
        <v>320</v>
      </c>
      <c r="N29" s="16">
        <v>0</v>
      </c>
      <c r="O29" s="17">
        <f>M29*(1-N29)</f>
        <v>320</v>
      </c>
    </row>
    <row r="30" spans="1:15" ht="12.75" x14ac:dyDescent="0.2">
      <c r="A30" s="20">
        <v>44348</v>
      </c>
      <c r="B30" s="13" t="s">
        <v>11</v>
      </c>
      <c r="C30" s="18" t="s">
        <v>45</v>
      </c>
      <c r="D30" s="14">
        <f>VLOOKUP(C30,координаты!$A$1:$C$656,2,FALSE)</f>
        <v>42.61</v>
      </c>
      <c r="E30" s="21">
        <f>VLOOKUP(C30,координаты!$A$1:$C$656,3,FALSE)</f>
        <v>-83.15</v>
      </c>
      <c r="F30" s="18" t="s">
        <v>19</v>
      </c>
      <c r="G30" s="13" t="s">
        <v>46</v>
      </c>
      <c r="H30" s="13" t="s">
        <v>16</v>
      </c>
      <c r="I30" s="13" t="s">
        <v>17</v>
      </c>
      <c r="J30" s="15">
        <v>57</v>
      </c>
      <c r="K30" s="15">
        <v>20</v>
      </c>
      <c r="L30" s="22">
        <v>8</v>
      </c>
      <c r="M30" s="14">
        <f>J30*L30</f>
        <v>456</v>
      </c>
      <c r="N30" s="23">
        <v>0</v>
      </c>
      <c r="O30" s="17">
        <f>M30*(1-N30)</f>
        <v>456</v>
      </c>
    </row>
    <row r="31" spans="1:15" ht="12.75" x14ac:dyDescent="0.2">
      <c r="A31" s="20">
        <v>44348</v>
      </c>
      <c r="B31" s="13" t="s">
        <v>11</v>
      </c>
      <c r="C31" s="13" t="s">
        <v>38</v>
      </c>
      <c r="D31" s="14">
        <f>VLOOKUP(C31,координаты!$A$1:$C$656,2,FALSE)</f>
        <v>29.76</v>
      </c>
      <c r="E31" s="21">
        <f>VLOOKUP(C31,координаты!$A$1:$C$656,3,FALSE)</f>
        <v>-95.36</v>
      </c>
      <c r="F31" s="13" t="s">
        <v>25</v>
      </c>
      <c r="G31" s="13" t="s">
        <v>167</v>
      </c>
      <c r="H31" s="13" t="s">
        <v>32</v>
      </c>
      <c r="I31" s="13" t="s">
        <v>48</v>
      </c>
      <c r="J31" s="15">
        <v>36</v>
      </c>
      <c r="K31" s="15">
        <v>11</v>
      </c>
      <c r="L31" s="22">
        <v>16</v>
      </c>
      <c r="M31" s="14">
        <f>J31*L31</f>
        <v>576</v>
      </c>
      <c r="N31" s="23">
        <v>0</v>
      </c>
      <c r="O31" s="17">
        <f>M31*(1-N31)</f>
        <v>576</v>
      </c>
    </row>
    <row r="32" spans="1:15" ht="12.75" x14ac:dyDescent="0.2">
      <c r="A32" s="20">
        <v>44348</v>
      </c>
      <c r="B32" s="13" t="s">
        <v>11</v>
      </c>
      <c r="C32" s="13" t="s">
        <v>150</v>
      </c>
      <c r="D32" s="14">
        <f>VLOOKUP(C32,координаты!$A$1:$C$656,2,FALSE)</f>
        <v>39.950000000000003</v>
      </c>
      <c r="E32" s="21">
        <f>VLOOKUP(C32,координаты!$A$1:$C$656,3,FALSE)</f>
        <v>-75.16</v>
      </c>
      <c r="F32" s="18" t="s">
        <v>14</v>
      </c>
      <c r="G32" s="13" t="s">
        <v>156</v>
      </c>
      <c r="H32" s="13" t="s">
        <v>16</v>
      </c>
      <c r="I32" s="13" t="s">
        <v>36</v>
      </c>
      <c r="J32" s="15">
        <v>123</v>
      </c>
      <c r="K32" s="15">
        <v>45</v>
      </c>
      <c r="L32" s="14">
        <v>16</v>
      </c>
      <c r="M32" s="14">
        <f>J32*L32</f>
        <v>1968</v>
      </c>
      <c r="N32" s="16">
        <v>0.2</v>
      </c>
      <c r="O32" s="17">
        <f>M32*(1-N32)</f>
        <v>1574.4</v>
      </c>
    </row>
    <row r="33" spans="1:15" ht="12.75" x14ac:dyDescent="0.2">
      <c r="A33" s="20">
        <v>44348</v>
      </c>
      <c r="B33" s="13" t="s">
        <v>11</v>
      </c>
      <c r="C33" s="13" t="s">
        <v>12</v>
      </c>
      <c r="D33" s="14">
        <f>VLOOKUP(C33,координаты!$A$1:$C$656,2,FALSE)</f>
        <v>34.049999999999997</v>
      </c>
      <c r="E33" s="21">
        <f>VLOOKUP(C33,координаты!$A$1:$C$656,3,FALSE)</f>
        <v>-118.24</v>
      </c>
      <c r="F33" s="18" t="s">
        <v>14</v>
      </c>
      <c r="G33" s="13" t="s">
        <v>89</v>
      </c>
      <c r="H33" s="13" t="s">
        <v>21</v>
      </c>
      <c r="I33" s="13" t="s">
        <v>51</v>
      </c>
      <c r="J33" s="15">
        <v>77</v>
      </c>
      <c r="K33" s="15">
        <v>50</v>
      </c>
      <c r="L33" s="22">
        <v>56</v>
      </c>
      <c r="M33" s="14">
        <f>J33*L33</f>
        <v>4312</v>
      </c>
      <c r="N33" s="23">
        <v>0.2</v>
      </c>
      <c r="O33" s="17">
        <f>M33*(1-N33)</f>
        <v>3449.6000000000004</v>
      </c>
    </row>
    <row r="34" spans="1:15" ht="12.75" x14ac:dyDescent="0.2">
      <c r="A34" s="20">
        <v>44348</v>
      </c>
      <c r="B34" s="13" t="s">
        <v>11</v>
      </c>
      <c r="C34" s="13" t="s">
        <v>12</v>
      </c>
      <c r="D34" s="14">
        <f>VLOOKUP(C34,координаты!$A$1:$C$656,2,FALSE)</f>
        <v>34.049999999999997</v>
      </c>
      <c r="E34" s="21">
        <f>VLOOKUP(C34,координаты!$A$1:$C$656,3,FALSE)</f>
        <v>-118.24</v>
      </c>
      <c r="F34" s="18" t="s">
        <v>14</v>
      </c>
      <c r="G34" s="13" t="s">
        <v>42</v>
      </c>
      <c r="H34" s="13" t="s">
        <v>16</v>
      </c>
      <c r="I34" s="13" t="s">
        <v>36</v>
      </c>
      <c r="J34" s="15">
        <v>85</v>
      </c>
      <c r="K34" s="15">
        <v>42</v>
      </c>
      <c r="L34" s="22">
        <v>40</v>
      </c>
      <c r="M34" s="14">
        <f>J34*L34</f>
        <v>3400</v>
      </c>
      <c r="N34" s="23">
        <v>0</v>
      </c>
      <c r="O34" s="17">
        <f>M34*(1-N34)</f>
        <v>3400</v>
      </c>
    </row>
    <row r="35" spans="1:15" ht="12.75" x14ac:dyDescent="0.2">
      <c r="A35" s="20">
        <v>44348</v>
      </c>
      <c r="B35" s="13" t="s">
        <v>11</v>
      </c>
      <c r="C35" s="13" t="s">
        <v>18</v>
      </c>
      <c r="D35" s="14">
        <f>VLOOKUP(C35,координаты!$A$1:$C$656,2,FALSE)</f>
        <v>40.71</v>
      </c>
      <c r="E35" s="21">
        <f>VLOOKUP(C35,координаты!$A$1:$C$656,3,FALSE)</f>
        <v>-74.010000000000005</v>
      </c>
      <c r="F35" s="18" t="s">
        <v>27</v>
      </c>
      <c r="G35" s="13" t="s">
        <v>28</v>
      </c>
      <c r="H35" s="13" t="s">
        <v>16</v>
      </c>
      <c r="I35" s="13" t="s">
        <v>29</v>
      </c>
      <c r="J35" s="15">
        <v>128</v>
      </c>
      <c r="K35" s="15">
        <v>60</v>
      </c>
      <c r="L35" s="22">
        <v>64</v>
      </c>
      <c r="M35" s="14">
        <f>J35*L35</f>
        <v>8192</v>
      </c>
      <c r="N35" s="23">
        <v>0.2</v>
      </c>
      <c r="O35" s="17">
        <f>M35*(1-N35)</f>
        <v>6553.6</v>
      </c>
    </row>
    <row r="36" spans="1:15" ht="12.75" x14ac:dyDescent="0.2">
      <c r="A36" s="20">
        <v>44348</v>
      </c>
      <c r="B36" s="13" t="s">
        <v>11</v>
      </c>
      <c r="C36" s="13" t="s">
        <v>12</v>
      </c>
      <c r="D36" s="14">
        <f>VLOOKUP(C36,координаты!$A$1:$C$656,2,FALSE)</f>
        <v>34.049999999999997</v>
      </c>
      <c r="E36" s="21">
        <f>VLOOKUP(C36,координаты!$A$1:$C$656,3,FALSE)</f>
        <v>-118.24</v>
      </c>
      <c r="F36" s="18" t="s">
        <v>14</v>
      </c>
      <c r="G36" s="13" t="s">
        <v>44</v>
      </c>
      <c r="H36" s="13" t="s">
        <v>16</v>
      </c>
      <c r="I36" s="18" t="s">
        <v>41</v>
      </c>
      <c r="J36" s="15">
        <v>760</v>
      </c>
      <c r="K36" s="15">
        <v>467</v>
      </c>
      <c r="L36" s="22">
        <v>16</v>
      </c>
      <c r="M36" s="14">
        <f>J36*L36</f>
        <v>12160</v>
      </c>
      <c r="N36" s="23">
        <v>0.2</v>
      </c>
      <c r="O36" s="17">
        <f>M36*(1-N36)</f>
        <v>9728</v>
      </c>
    </row>
    <row r="37" spans="1:15" ht="12.75" x14ac:dyDescent="0.2">
      <c r="A37" s="20">
        <v>44348</v>
      </c>
      <c r="B37" s="13" t="s">
        <v>11</v>
      </c>
      <c r="C37" s="13" t="s">
        <v>38</v>
      </c>
      <c r="D37" s="14">
        <f>VLOOKUP(C37,координаты!$A$1:$C$656,2,FALSE)</f>
        <v>29.76</v>
      </c>
      <c r="E37" s="21">
        <f>VLOOKUP(C37,координаты!$A$1:$C$656,3,FALSE)</f>
        <v>-95.36</v>
      </c>
      <c r="F37" s="13" t="s">
        <v>25</v>
      </c>
      <c r="G37" s="13" t="s">
        <v>40</v>
      </c>
      <c r="H37" s="13" t="s">
        <v>16</v>
      </c>
      <c r="I37" s="18" t="s">
        <v>41</v>
      </c>
      <c r="J37" s="15">
        <v>320</v>
      </c>
      <c r="K37" s="15">
        <v>187</v>
      </c>
      <c r="L37" s="22">
        <v>40</v>
      </c>
      <c r="M37" s="14">
        <f>J37*L37</f>
        <v>12800</v>
      </c>
      <c r="N37" s="23">
        <v>0.1</v>
      </c>
      <c r="O37" s="17">
        <f>M37*(1-N37)</f>
        <v>11520</v>
      </c>
    </row>
    <row r="38" spans="1:15" ht="12.75" x14ac:dyDescent="0.2">
      <c r="A38" s="20">
        <v>44528</v>
      </c>
      <c r="B38" s="13" t="s">
        <v>11</v>
      </c>
      <c r="C38" s="13" t="s">
        <v>137</v>
      </c>
      <c r="D38" s="14">
        <f>VLOOKUP(C38,координаты!$A$1:$C$656,2,FALSE)</f>
        <v>43.66</v>
      </c>
      <c r="E38" s="21">
        <f>VLOOKUP(C38,координаты!$A$1:$C$656,3,FALSE)</f>
        <v>-70.260000000000005</v>
      </c>
      <c r="F38" s="18" t="s">
        <v>14</v>
      </c>
      <c r="G38" s="13" t="s">
        <v>139</v>
      </c>
      <c r="H38" s="13" t="s">
        <v>16</v>
      </c>
      <c r="I38" s="13" t="s">
        <v>29</v>
      </c>
      <c r="J38" s="15">
        <v>41</v>
      </c>
      <c r="K38" s="15">
        <v>27</v>
      </c>
      <c r="L38" s="14">
        <v>8</v>
      </c>
      <c r="M38" s="14">
        <f>J38*L38</f>
        <v>328</v>
      </c>
      <c r="N38" s="16">
        <v>0.7</v>
      </c>
      <c r="O38" s="17">
        <f>M38*(1-N38)</f>
        <v>98.40000000000002</v>
      </c>
    </row>
    <row r="39" spans="1:15" ht="12.75" x14ac:dyDescent="0.2">
      <c r="A39" s="20">
        <v>44378</v>
      </c>
      <c r="B39" s="13" t="s">
        <v>11</v>
      </c>
      <c r="C39" s="13" t="s">
        <v>12</v>
      </c>
      <c r="D39" s="14">
        <f>VLOOKUP(C39,координаты!$A$1:$C$656,2,FALSE)</f>
        <v>34.049999999999997</v>
      </c>
      <c r="E39" s="21">
        <f>VLOOKUP(C39,координаты!$A$1:$C$656,3,FALSE)</f>
        <v>-118.24</v>
      </c>
      <c r="F39" s="18" t="s">
        <v>14</v>
      </c>
      <c r="G39" s="13" t="s">
        <v>43</v>
      </c>
      <c r="H39" s="13" t="s">
        <v>21</v>
      </c>
      <c r="I39" s="13" t="s">
        <v>22</v>
      </c>
      <c r="J39" s="15">
        <v>70</v>
      </c>
      <c r="K39" s="15">
        <v>29</v>
      </c>
      <c r="L39" s="22">
        <v>16</v>
      </c>
      <c r="M39" s="14">
        <f>J39*L39</f>
        <v>1120</v>
      </c>
      <c r="N39" s="23">
        <v>0</v>
      </c>
      <c r="O39" s="17">
        <f>M39*(1-N39)</f>
        <v>1120</v>
      </c>
    </row>
    <row r="40" spans="1:15" ht="12.75" x14ac:dyDescent="0.2">
      <c r="A40" s="20">
        <v>44378</v>
      </c>
      <c r="B40" s="13" t="s">
        <v>11</v>
      </c>
      <c r="C40" s="13" t="s">
        <v>115</v>
      </c>
      <c r="D40" s="14">
        <f>VLOOKUP(C40,координаты!$A$1:$C$656,2,FALSE)</f>
        <v>44.98</v>
      </c>
      <c r="E40" s="21">
        <f>VLOOKUP(C40,координаты!$A$1:$C$656,3,FALSE)</f>
        <v>-93.26</v>
      </c>
      <c r="F40" s="13" t="s">
        <v>25</v>
      </c>
      <c r="G40" s="13" t="s">
        <v>178</v>
      </c>
      <c r="H40" s="13" t="s">
        <v>32</v>
      </c>
      <c r="I40" s="13" t="s">
        <v>59</v>
      </c>
      <c r="J40" s="15">
        <v>68</v>
      </c>
      <c r="K40" s="15">
        <v>32</v>
      </c>
      <c r="L40" s="14">
        <v>24</v>
      </c>
      <c r="M40" s="14">
        <f>J40*L40</f>
        <v>1632</v>
      </c>
      <c r="N40" s="16">
        <v>0</v>
      </c>
      <c r="O40" s="17">
        <f>M40*(1-N40)</f>
        <v>1632</v>
      </c>
    </row>
    <row r="41" spans="1:15" ht="12.75" x14ac:dyDescent="0.2">
      <c r="A41" s="20">
        <v>44378</v>
      </c>
      <c r="B41" s="13" t="s">
        <v>11</v>
      </c>
      <c r="C41" s="18" t="s">
        <v>54</v>
      </c>
      <c r="D41" s="14">
        <f>VLOOKUP(C41,координаты!$A$1:$C$656,2,FALSE)</f>
        <v>42.65</v>
      </c>
      <c r="E41" s="21">
        <f>VLOOKUP(C41,координаты!$A$1:$C$656,3,FALSE)</f>
        <v>-73.760000000000005</v>
      </c>
      <c r="F41" s="13" t="s">
        <v>25</v>
      </c>
      <c r="G41" s="13" t="s">
        <v>56</v>
      </c>
      <c r="H41" s="13" t="s">
        <v>16</v>
      </c>
      <c r="I41" s="13" t="s">
        <v>29</v>
      </c>
      <c r="J41" s="15">
        <v>131</v>
      </c>
      <c r="K41" s="15">
        <v>69</v>
      </c>
      <c r="L41" s="22">
        <v>40</v>
      </c>
      <c r="M41" s="14">
        <f>J41*L41</f>
        <v>5240</v>
      </c>
      <c r="N41" s="23">
        <v>0</v>
      </c>
      <c r="O41" s="17">
        <f>M41*(1-N41)</f>
        <v>5240</v>
      </c>
    </row>
    <row r="42" spans="1:15" ht="12.75" x14ac:dyDescent="0.2">
      <c r="A42" s="20">
        <v>44409</v>
      </c>
      <c r="B42" s="13" t="s">
        <v>11</v>
      </c>
      <c r="C42" s="18" t="s">
        <v>54</v>
      </c>
      <c r="D42" s="14">
        <f>VLOOKUP(C42,координаты!$A$1:$C$656,2,FALSE)</f>
        <v>42.65</v>
      </c>
      <c r="E42" s="21">
        <f>VLOOKUP(C42,координаты!$A$1:$C$656,3,FALSE)</f>
        <v>-73.760000000000005</v>
      </c>
      <c r="F42" s="13" t="s">
        <v>25</v>
      </c>
      <c r="G42" s="13" t="s">
        <v>169</v>
      </c>
      <c r="H42" s="13" t="s">
        <v>32</v>
      </c>
      <c r="I42" s="13" t="s">
        <v>48</v>
      </c>
      <c r="J42" s="15">
        <v>44</v>
      </c>
      <c r="K42" s="15">
        <v>20</v>
      </c>
      <c r="L42" s="22">
        <v>16</v>
      </c>
      <c r="M42" s="14">
        <f>J42*L42</f>
        <v>704</v>
      </c>
      <c r="N42" s="23">
        <v>0</v>
      </c>
      <c r="O42" s="17">
        <f>M42*(1-N42)</f>
        <v>704</v>
      </c>
    </row>
    <row r="43" spans="1:15" ht="12.75" x14ac:dyDescent="0.2">
      <c r="A43" s="20">
        <v>44528</v>
      </c>
      <c r="B43" s="13" t="s">
        <v>11</v>
      </c>
      <c r="C43" s="13" t="s">
        <v>38</v>
      </c>
      <c r="D43" s="14">
        <f>VLOOKUP(C43,координаты!$A$1:$C$656,2,FALSE)</f>
        <v>29.76</v>
      </c>
      <c r="E43" s="21">
        <f>VLOOKUP(C43,координаты!$A$1:$C$656,3,FALSE)</f>
        <v>-95.36</v>
      </c>
      <c r="F43" s="13" t="s">
        <v>25</v>
      </c>
      <c r="G43" s="13" t="s">
        <v>176</v>
      </c>
      <c r="H43" s="13" t="s">
        <v>32</v>
      </c>
      <c r="I43" s="13" t="s">
        <v>59</v>
      </c>
      <c r="J43" s="15">
        <v>83</v>
      </c>
      <c r="K43" s="15">
        <v>47</v>
      </c>
      <c r="L43" s="14">
        <v>40</v>
      </c>
      <c r="M43" s="14">
        <f>J43*L43</f>
        <v>3320</v>
      </c>
      <c r="N43" s="16">
        <v>0.6</v>
      </c>
      <c r="O43" s="17">
        <f>M43*(1-N43)</f>
        <v>1328</v>
      </c>
    </row>
    <row r="44" spans="1:15" ht="12.75" x14ac:dyDescent="0.2">
      <c r="A44" s="20">
        <v>44409</v>
      </c>
      <c r="B44" s="13" t="s">
        <v>11</v>
      </c>
      <c r="C44" s="18" t="s">
        <v>45</v>
      </c>
      <c r="D44" s="14">
        <f>VLOOKUP(C44,координаты!$A$1:$C$656,2,FALSE)</f>
        <v>42.61</v>
      </c>
      <c r="E44" s="21">
        <f>VLOOKUP(C44,координаты!$A$1:$C$656,3,FALSE)</f>
        <v>-83.15</v>
      </c>
      <c r="F44" s="18" t="s">
        <v>19</v>
      </c>
      <c r="G44" s="13" t="s">
        <v>50</v>
      </c>
      <c r="H44" s="13" t="s">
        <v>21</v>
      </c>
      <c r="I44" s="13" t="s">
        <v>51</v>
      </c>
      <c r="J44" s="15">
        <v>80</v>
      </c>
      <c r="K44" s="15">
        <v>56</v>
      </c>
      <c r="L44" s="22">
        <v>48</v>
      </c>
      <c r="M44" s="14">
        <f>J44*L44</f>
        <v>3840</v>
      </c>
      <c r="N44" s="23">
        <v>0</v>
      </c>
      <c r="O44" s="17">
        <f>M44*(1-N44)</f>
        <v>3840</v>
      </c>
    </row>
    <row r="45" spans="1:15" ht="12.75" x14ac:dyDescent="0.2">
      <c r="A45" s="20">
        <v>44419</v>
      </c>
      <c r="B45" s="13" t="s">
        <v>11</v>
      </c>
      <c r="C45" s="13" t="s">
        <v>120</v>
      </c>
      <c r="D45" s="14">
        <f>VLOOKUP(C45,координаты!$A$1:$C$656,2,FALSE)</f>
        <v>36.04</v>
      </c>
      <c r="E45" s="21">
        <f>VLOOKUP(C45,координаты!$A$1:$C$656,3,FALSE)</f>
        <v>-114.98</v>
      </c>
      <c r="F45" s="18" t="s">
        <v>68</v>
      </c>
      <c r="G45" s="13" t="s">
        <v>157</v>
      </c>
      <c r="H45" s="13" t="s">
        <v>32</v>
      </c>
      <c r="I45" s="13" t="s">
        <v>75</v>
      </c>
      <c r="J45" s="15">
        <v>62</v>
      </c>
      <c r="K45" s="15">
        <v>29</v>
      </c>
      <c r="L45" s="14">
        <v>16</v>
      </c>
      <c r="M45" s="14">
        <f>J45*L45</f>
        <v>992</v>
      </c>
      <c r="N45" s="16">
        <v>0</v>
      </c>
      <c r="O45" s="17">
        <f>M45*(1-N45)</f>
        <v>992</v>
      </c>
    </row>
    <row r="46" spans="1:15" ht="12.75" x14ac:dyDescent="0.2">
      <c r="A46" s="20">
        <v>44419</v>
      </c>
      <c r="B46" s="13" t="s">
        <v>11</v>
      </c>
      <c r="C46" s="13" t="s">
        <v>120</v>
      </c>
      <c r="D46" s="14">
        <f>VLOOKUP(C46,координаты!$A$1:$C$656,2,FALSE)</f>
        <v>36.04</v>
      </c>
      <c r="E46" s="21">
        <f>VLOOKUP(C46,координаты!$A$1:$C$656,3,FALSE)</f>
        <v>-114.98</v>
      </c>
      <c r="F46" s="18" t="s">
        <v>68</v>
      </c>
      <c r="G46" s="13" t="s">
        <v>158</v>
      </c>
      <c r="H46" s="13" t="s">
        <v>32</v>
      </c>
      <c r="I46" s="13" t="s">
        <v>48</v>
      </c>
      <c r="J46" s="15">
        <v>64</v>
      </c>
      <c r="K46" s="15">
        <v>33</v>
      </c>
      <c r="L46" s="14">
        <v>24</v>
      </c>
      <c r="M46" s="14">
        <f>J46*L46</f>
        <v>1536</v>
      </c>
      <c r="N46" s="16">
        <v>0</v>
      </c>
      <c r="O46" s="17">
        <f>M46*(1-N46)</f>
        <v>1536</v>
      </c>
    </row>
    <row r="47" spans="1:15" ht="12.75" x14ac:dyDescent="0.2">
      <c r="A47" s="20">
        <v>44420</v>
      </c>
      <c r="B47" s="13" t="s">
        <v>11</v>
      </c>
      <c r="C47" s="13" t="s">
        <v>77</v>
      </c>
      <c r="D47" s="14">
        <f>VLOOKUP(C47,координаты!$A$1:$C$656,2,FALSE)</f>
        <v>32.950000000000003</v>
      </c>
      <c r="E47" s="21">
        <f>VLOOKUP(C47,координаты!$A$1:$C$656,3,FALSE)</f>
        <v>-96.73</v>
      </c>
      <c r="F47" s="13" t="s">
        <v>25</v>
      </c>
      <c r="G47" s="13" t="s">
        <v>165</v>
      </c>
      <c r="H47" s="13" t="s">
        <v>32</v>
      </c>
      <c r="I47" s="13" t="s">
        <v>59</v>
      </c>
      <c r="J47" s="15">
        <v>67</v>
      </c>
      <c r="K47" s="15">
        <v>36</v>
      </c>
      <c r="L47" s="22">
        <v>48</v>
      </c>
      <c r="M47" s="14">
        <f>J47*L47</f>
        <v>3216</v>
      </c>
      <c r="N47" s="23">
        <v>0</v>
      </c>
      <c r="O47" s="17">
        <f>M47*(1-N47)</f>
        <v>3216</v>
      </c>
    </row>
    <row r="48" spans="1:15" ht="12.75" x14ac:dyDescent="0.2">
      <c r="A48" s="20">
        <v>44420</v>
      </c>
      <c r="B48" s="13" t="s">
        <v>11</v>
      </c>
      <c r="C48" s="13" t="s">
        <v>77</v>
      </c>
      <c r="D48" s="14">
        <f>VLOOKUP(C48,координаты!$A$1:$C$656,2,FALSE)</f>
        <v>32.950000000000003</v>
      </c>
      <c r="E48" s="21">
        <f>VLOOKUP(C48,координаты!$A$1:$C$656,3,FALSE)</f>
        <v>-96.73</v>
      </c>
      <c r="F48" s="13" t="s">
        <v>25</v>
      </c>
      <c r="G48" s="13" t="s">
        <v>78</v>
      </c>
      <c r="H48" s="13" t="s">
        <v>21</v>
      </c>
      <c r="I48" s="13" t="s">
        <v>22</v>
      </c>
      <c r="J48" s="15">
        <v>137</v>
      </c>
      <c r="K48" s="15">
        <v>64</v>
      </c>
      <c r="L48" s="22">
        <v>32</v>
      </c>
      <c r="M48" s="14">
        <f>J48*L48</f>
        <v>4384</v>
      </c>
      <c r="N48" s="23">
        <v>0</v>
      </c>
      <c r="O48" s="17">
        <f>M48*(1-N48)</f>
        <v>4384</v>
      </c>
    </row>
    <row r="49" spans="1:15" ht="12.75" x14ac:dyDescent="0.2">
      <c r="A49" s="20">
        <v>44528</v>
      </c>
      <c r="B49" s="13" t="s">
        <v>11</v>
      </c>
      <c r="C49" s="18" t="s">
        <v>142</v>
      </c>
      <c r="D49" s="14">
        <f>VLOOKUP(C49,координаты!$A$1:$C$656,2,FALSE)</f>
        <v>32.729999999999997</v>
      </c>
      <c r="E49" s="21">
        <f>VLOOKUP(C49,координаты!$A$1:$C$656,3,FALSE)</f>
        <v>-97.32</v>
      </c>
      <c r="F49" s="13" t="s">
        <v>25</v>
      </c>
      <c r="G49" s="13" t="s">
        <v>143</v>
      </c>
      <c r="H49" s="13" t="s">
        <v>16</v>
      </c>
      <c r="I49" s="13" t="s">
        <v>64</v>
      </c>
      <c r="J49" s="15">
        <v>63</v>
      </c>
      <c r="K49" s="15">
        <v>20</v>
      </c>
      <c r="L49" s="14">
        <v>40</v>
      </c>
      <c r="M49" s="14">
        <f>J49*L49</f>
        <v>2520</v>
      </c>
      <c r="N49" s="16">
        <v>0.8</v>
      </c>
      <c r="O49" s="17">
        <f>M49*(1-N49)</f>
        <v>503.99999999999989</v>
      </c>
    </row>
    <row r="50" spans="1:15" ht="12.75" x14ac:dyDescent="0.2">
      <c r="A50" s="20">
        <v>44440</v>
      </c>
      <c r="B50" s="13" t="s">
        <v>11</v>
      </c>
      <c r="C50" s="18" t="s">
        <v>130</v>
      </c>
      <c r="D50" s="14">
        <f>VLOOKUP(C50,координаты!$A$1:$C$656,2,FALSE)</f>
        <v>40.61</v>
      </c>
      <c r="E50" s="21">
        <f>VLOOKUP(C50,координаты!$A$1:$C$656,3,FALSE)</f>
        <v>-111.94</v>
      </c>
      <c r="F50" s="18" t="s">
        <v>14</v>
      </c>
      <c r="G50" s="13" t="s">
        <v>131</v>
      </c>
      <c r="H50" s="13" t="s">
        <v>16</v>
      </c>
      <c r="I50" s="13" t="s">
        <v>17</v>
      </c>
      <c r="J50" s="15">
        <v>37</v>
      </c>
      <c r="K50" s="15">
        <v>17</v>
      </c>
      <c r="L50" s="14">
        <v>16</v>
      </c>
      <c r="M50" s="14">
        <f>J50*L50</f>
        <v>592</v>
      </c>
      <c r="N50" s="16">
        <v>0</v>
      </c>
      <c r="O50" s="17">
        <f>M50*(1-N50)</f>
        <v>592</v>
      </c>
    </row>
    <row r="51" spans="1:15" ht="12.75" x14ac:dyDescent="0.2">
      <c r="A51" s="20">
        <v>44440</v>
      </c>
      <c r="B51" s="13" t="s">
        <v>11</v>
      </c>
      <c r="C51" s="13" t="s">
        <v>12</v>
      </c>
      <c r="D51" s="14">
        <f>VLOOKUP(C51,координаты!$A$1:$C$656,2,FALSE)</f>
        <v>34.049999999999997</v>
      </c>
      <c r="E51" s="21">
        <f>VLOOKUP(C51,координаты!$A$1:$C$656,3,FALSE)</f>
        <v>-118.24</v>
      </c>
      <c r="F51" s="18" t="s">
        <v>14</v>
      </c>
      <c r="G51" s="13" t="s">
        <v>88</v>
      </c>
      <c r="H51" s="13" t="s">
        <v>16</v>
      </c>
      <c r="I51" s="13" t="s">
        <v>29</v>
      </c>
      <c r="J51" s="15">
        <v>45</v>
      </c>
      <c r="K51" s="15">
        <v>19</v>
      </c>
      <c r="L51" s="22">
        <v>24</v>
      </c>
      <c r="M51" s="14">
        <f>J51*L51</f>
        <v>1080</v>
      </c>
      <c r="N51" s="23">
        <v>0.2</v>
      </c>
      <c r="O51" s="17">
        <f>M51*(1-N51)</f>
        <v>864</v>
      </c>
    </row>
    <row r="52" spans="1:15" ht="12.75" x14ac:dyDescent="0.2">
      <c r="A52" s="20">
        <v>44440</v>
      </c>
      <c r="B52" s="13" t="s">
        <v>11</v>
      </c>
      <c r="C52" s="13" t="s">
        <v>150</v>
      </c>
      <c r="D52" s="14">
        <f>VLOOKUP(C52,координаты!$A$1:$C$656,2,FALSE)</f>
        <v>39.950000000000003</v>
      </c>
      <c r="E52" s="21">
        <f>VLOOKUP(C52,координаты!$A$1:$C$656,3,FALSE)</f>
        <v>-75.16</v>
      </c>
      <c r="F52" s="18" t="s">
        <v>14</v>
      </c>
      <c r="G52" s="13" t="s">
        <v>153</v>
      </c>
      <c r="H52" s="13" t="s">
        <v>16</v>
      </c>
      <c r="I52" s="13" t="s">
        <v>74</v>
      </c>
      <c r="J52" s="15">
        <v>71</v>
      </c>
      <c r="K52" s="15">
        <v>30</v>
      </c>
      <c r="L52" s="14">
        <v>16</v>
      </c>
      <c r="M52" s="14">
        <f>J52*L52</f>
        <v>1136</v>
      </c>
      <c r="N52" s="16">
        <v>0.2</v>
      </c>
      <c r="O52" s="17">
        <f>M52*(1-N52)</f>
        <v>908.80000000000007</v>
      </c>
    </row>
    <row r="53" spans="1:15" ht="12.75" x14ac:dyDescent="0.2">
      <c r="A53" s="20">
        <v>44440</v>
      </c>
      <c r="B53" s="13" t="s">
        <v>11</v>
      </c>
      <c r="C53" s="18" t="s">
        <v>54</v>
      </c>
      <c r="D53" s="14">
        <f>VLOOKUP(C53,координаты!$A$1:$C$656,2,FALSE)</f>
        <v>42.65</v>
      </c>
      <c r="E53" s="21">
        <f>VLOOKUP(C53,координаты!$A$1:$C$656,3,FALSE)</f>
        <v>-73.760000000000005</v>
      </c>
      <c r="F53" s="13" t="s">
        <v>25</v>
      </c>
      <c r="G53" s="13" t="s">
        <v>168</v>
      </c>
      <c r="H53" s="13" t="s">
        <v>32</v>
      </c>
      <c r="I53" s="13" t="s">
        <v>59</v>
      </c>
      <c r="J53" s="15">
        <v>64</v>
      </c>
      <c r="K53" s="15">
        <v>29</v>
      </c>
      <c r="L53" s="22">
        <v>16</v>
      </c>
      <c r="M53" s="14">
        <f>J53*L53</f>
        <v>1024</v>
      </c>
      <c r="N53" s="23">
        <v>0</v>
      </c>
      <c r="O53" s="17">
        <f>M53*(1-N53)</f>
        <v>1024</v>
      </c>
    </row>
    <row r="54" spans="1:15" ht="12.75" x14ac:dyDescent="0.2">
      <c r="A54" s="20">
        <v>44440</v>
      </c>
      <c r="B54" s="13" t="s">
        <v>11</v>
      </c>
      <c r="C54" s="13" t="s">
        <v>115</v>
      </c>
      <c r="D54" s="14">
        <f>VLOOKUP(C54,координаты!$A$1:$C$656,2,FALSE)</f>
        <v>44.98</v>
      </c>
      <c r="E54" s="21">
        <f>VLOOKUP(C54,координаты!$A$1:$C$656,3,FALSE)</f>
        <v>-93.26</v>
      </c>
      <c r="F54" s="13" t="s">
        <v>25</v>
      </c>
      <c r="G54" s="13" t="s">
        <v>117</v>
      </c>
      <c r="H54" s="13" t="s">
        <v>16</v>
      </c>
      <c r="I54" s="13" t="s">
        <v>29</v>
      </c>
      <c r="J54" s="15">
        <v>114</v>
      </c>
      <c r="K54" s="15">
        <v>75</v>
      </c>
      <c r="L54" s="14">
        <v>16</v>
      </c>
      <c r="M54" s="14">
        <f>J54*L54</f>
        <v>1824</v>
      </c>
      <c r="N54" s="16">
        <v>0</v>
      </c>
      <c r="O54" s="17">
        <f>M54*(1-N54)</f>
        <v>1824</v>
      </c>
    </row>
    <row r="55" spans="1:15" ht="12.75" x14ac:dyDescent="0.2">
      <c r="A55" s="20">
        <v>44440</v>
      </c>
      <c r="B55" s="13" t="s">
        <v>11</v>
      </c>
      <c r="C55" s="13" t="s">
        <v>115</v>
      </c>
      <c r="D55" s="14">
        <f>VLOOKUP(C55,координаты!$A$1:$C$656,2,FALSE)</f>
        <v>44.98</v>
      </c>
      <c r="E55" s="21">
        <f>VLOOKUP(C55,координаты!$A$1:$C$656,3,FALSE)</f>
        <v>-93.26</v>
      </c>
      <c r="F55" s="13" t="s">
        <v>25</v>
      </c>
      <c r="G55" s="13" t="s">
        <v>116</v>
      </c>
      <c r="H55" s="13" t="s">
        <v>16</v>
      </c>
      <c r="I55" s="18" t="s">
        <v>41</v>
      </c>
      <c r="J55" s="15">
        <v>538</v>
      </c>
      <c r="K55" s="15">
        <v>216</v>
      </c>
      <c r="L55" s="14">
        <v>16</v>
      </c>
      <c r="M55" s="14">
        <f>J55*L55</f>
        <v>8608</v>
      </c>
      <c r="N55" s="16">
        <v>0</v>
      </c>
      <c r="O55" s="17">
        <f>M55*(1-N55)</f>
        <v>8608</v>
      </c>
    </row>
    <row r="56" spans="1:15" ht="12.75" x14ac:dyDescent="0.2">
      <c r="A56" s="20">
        <v>44440</v>
      </c>
      <c r="B56" s="13" t="s">
        <v>11</v>
      </c>
      <c r="C56" s="18" t="s">
        <v>45</v>
      </c>
      <c r="D56" s="14">
        <f>VLOOKUP(C56,координаты!$A$1:$C$656,2,FALSE)</f>
        <v>42.61</v>
      </c>
      <c r="E56" s="21">
        <f>VLOOKUP(C56,координаты!$A$1:$C$656,3,FALSE)</f>
        <v>-83.15</v>
      </c>
      <c r="F56" s="18" t="s">
        <v>19</v>
      </c>
      <c r="G56" s="13" t="s">
        <v>49</v>
      </c>
      <c r="H56" s="13" t="s">
        <v>16</v>
      </c>
      <c r="I56" s="18" t="s">
        <v>41</v>
      </c>
      <c r="J56" s="15">
        <v>650</v>
      </c>
      <c r="K56" s="15">
        <v>535</v>
      </c>
      <c r="L56" s="22">
        <v>48</v>
      </c>
      <c r="M56" s="14">
        <f>J56*L56</f>
        <v>31200</v>
      </c>
      <c r="N56" s="23">
        <v>0.1</v>
      </c>
      <c r="O56" s="17">
        <f>M56*(1-N56)</f>
        <v>28080</v>
      </c>
    </row>
    <row r="57" spans="1:15" ht="12.75" x14ac:dyDescent="0.2">
      <c r="A57" s="20">
        <v>44445</v>
      </c>
      <c r="B57" s="13" t="s">
        <v>11</v>
      </c>
      <c r="C57" s="13" t="s">
        <v>12</v>
      </c>
      <c r="D57" s="14">
        <f>VLOOKUP(C57,координаты!$A$1:$C$656,2,FALSE)</f>
        <v>34.049999999999997</v>
      </c>
      <c r="E57" s="21">
        <f>VLOOKUP(C57,координаты!$A$1:$C$656,3,FALSE)</f>
        <v>-118.24</v>
      </c>
      <c r="F57" s="18" t="s">
        <v>14</v>
      </c>
      <c r="G57" s="13" t="s">
        <v>160</v>
      </c>
      <c r="H57" s="13" t="s">
        <v>32</v>
      </c>
      <c r="I57" s="13" t="s">
        <v>59</v>
      </c>
      <c r="J57" s="19">
        <v>47</v>
      </c>
      <c r="K57" s="15">
        <v>37</v>
      </c>
      <c r="L57" s="22">
        <v>16</v>
      </c>
      <c r="M57" s="14">
        <f>J57*L57</f>
        <v>752</v>
      </c>
      <c r="N57" s="16">
        <v>0</v>
      </c>
      <c r="O57" s="17">
        <f>M57*(1-N57)</f>
        <v>752</v>
      </c>
    </row>
    <row r="58" spans="1:15" ht="12.75" x14ac:dyDescent="0.2">
      <c r="A58" s="20">
        <v>44445</v>
      </c>
      <c r="B58" s="13" t="s">
        <v>11</v>
      </c>
      <c r="C58" s="13" t="s">
        <v>12</v>
      </c>
      <c r="D58" s="14">
        <f>VLOOKUP(C58,координаты!$A$1:$C$656,2,FALSE)</f>
        <v>34.049999999999997</v>
      </c>
      <c r="E58" s="21">
        <f>VLOOKUP(C58,координаты!$A$1:$C$656,3,FALSE)</f>
        <v>-118.24</v>
      </c>
      <c r="F58" s="18" t="s">
        <v>14</v>
      </c>
      <c r="G58" s="13" t="s">
        <v>60</v>
      </c>
      <c r="H58" s="13" t="s">
        <v>16</v>
      </c>
      <c r="I58" s="13" t="s">
        <v>36</v>
      </c>
      <c r="J58" s="15">
        <v>43</v>
      </c>
      <c r="K58" s="15">
        <v>21</v>
      </c>
      <c r="L58" s="22">
        <v>8</v>
      </c>
      <c r="M58" s="14">
        <f>J58*L58</f>
        <v>344</v>
      </c>
      <c r="N58" s="23">
        <v>0</v>
      </c>
      <c r="O58" s="17">
        <f>M58*(1-N58)</f>
        <v>344</v>
      </c>
    </row>
    <row r="59" spans="1:15" ht="12.75" x14ac:dyDescent="0.2">
      <c r="A59" s="20">
        <v>44445</v>
      </c>
      <c r="B59" s="13" t="s">
        <v>11</v>
      </c>
      <c r="C59" s="13" t="s">
        <v>12</v>
      </c>
      <c r="D59" s="14">
        <f>VLOOKUP(C59,координаты!$A$1:$C$656,2,FALSE)</f>
        <v>34.049999999999997</v>
      </c>
      <c r="E59" s="21">
        <f>VLOOKUP(C59,координаты!$A$1:$C$656,3,FALSE)</f>
        <v>-118.24</v>
      </c>
      <c r="F59" s="18" t="s">
        <v>14</v>
      </c>
      <c r="G59" s="13" t="s">
        <v>62</v>
      </c>
      <c r="H59" s="13" t="s">
        <v>16</v>
      </c>
      <c r="I59" s="13" t="s">
        <v>29</v>
      </c>
      <c r="J59" s="15">
        <v>48</v>
      </c>
      <c r="K59" s="15">
        <v>23</v>
      </c>
      <c r="L59" s="22">
        <v>48</v>
      </c>
      <c r="M59" s="14">
        <f>J59*L59</f>
        <v>2304</v>
      </c>
      <c r="N59" s="23">
        <v>0.2</v>
      </c>
      <c r="O59" s="17">
        <f>M59*(1-N59)</f>
        <v>1843.2</v>
      </c>
    </row>
    <row r="60" spans="1:15" ht="12.75" x14ac:dyDescent="0.2">
      <c r="A60" s="20">
        <v>44445</v>
      </c>
      <c r="B60" s="13" t="s">
        <v>11</v>
      </c>
      <c r="C60" s="13" t="s">
        <v>12</v>
      </c>
      <c r="D60" s="14">
        <f>VLOOKUP(C60,координаты!$A$1:$C$656,2,FALSE)</f>
        <v>34.049999999999997</v>
      </c>
      <c r="E60" s="21">
        <f>VLOOKUP(C60,координаты!$A$1:$C$656,3,FALSE)</f>
        <v>-118.24</v>
      </c>
      <c r="F60" s="18" t="s">
        <v>14</v>
      </c>
      <c r="G60" s="13" t="s">
        <v>63</v>
      </c>
      <c r="H60" s="13" t="s">
        <v>16</v>
      </c>
      <c r="I60" s="13" t="s">
        <v>64</v>
      </c>
      <c r="J60" s="15">
        <v>55</v>
      </c>
      <c r="K60" s="15">
        <v>24</v>
      </c>
      <c r="L60" s="22">
        <v>24</v>
      </c>
      <c r="M60" s="14">
        <f>J60*L60</f>
        <v>1320</v>
      </c>
      <c r="N60" s="23">
        <v>0</v>
      </c>
      <c r="O60" s="17">
        <f>M60*(1-N60)</f>
        <v>1320</v>
      </c>
    </row>
    <row r="61" spans="1:15" ht="12.75" x14ac:dyDescent="0.2">
      <c r="A61" s="20">
        <v>44445</v>
      </c>
      <c r="B61" s="13" t="s">
        <v>11</v>
      </c>
      <c r="C61" s="13" t="s">
        <v>12</v>
      </c>
      <c r="D61" s="14">
        <f>VLOOKUP(C61,координаты!$A$1:$C$656,2,FALSE)</f>
        <v>34.049999999999997</v>
      </c>
      <c r="E61" s="21">
        <f>VLOOKUP(C61,координаты!$A$1:$C$656,3,FALSE)</f>
        <v>-118.24</v>
      </c>
      <c r="F61" s="18" t="s">
        <v>14</v>
      </c>
      <c r="G61" s="13" t="s">
        <v>61</v>
      </c>
      <c r="H61" s="13" t="s">
        <v>21</v>
      </c>
      <c r="I61" s="13" t="s">
        <v>22</v>
      </c>
      <c r="J61" s="15">
        <v>121</v>
      </c>
      <c r="K61" s="15">
        <v>33</v>
      </c>
      <c r="L61" s="22">
        <v>24</v>
      </c>
      <c r="M61" s="14">
        <f>J61*L61</f>
        <v>2904</v>
      </c>
      <c r="N61" s="23">
        <v>0</v>
      </c>
      <c r="O61" s="17">
        <f>M61*(1-N61)</f>
        <v>2904</v>
      </c>
    </row>
    <row r="62" spans="1:15" ht="12.75" x14ac:dyDescent="0.2">
      <c r="A62" s="20">
        <v>44445</v>
      </c>
      <c r="B62" s="13" t="s">
        <v>11</v>
      </c>
      <c r="C62" s="13" t="s">
        <v>12</v>
      </c>
      <c r="D62" s="14">
        <f>VLOOKUP(C62,координаты!$A$1:$C$656,2,FALSE)</f>
        <v>34.049999999999997</v>
      </c>
      <c r="E62" s="21">
        <f>VLOOKUP(C62,координаты!$A$1:$C$656,3,FALSE)</f>
        <v>-118.24</v>
      </c>
      <c r="F62" s="18" t="s">
        <v>14</v>
      </c>
      <c r="G62" s="13" t="s">
        <v>161</v>
      </c>
      <c r="H62" s="13" t="s">
        <v>32</v>
      </c>
      <c r="I62" s="18" t="s">
        <v>762</v>
      </c>
      <c r="J62" s="15">
        <v>67</v>
      </c>
      <c r="K62" s="15">
        <v>25</v>
      </c>
      <c r="L62" s="22">
        <v>56</v>
      </c>
      <c r="M62" s="14">
        <f>J62*L62</f>
        <v>3752</v>
      </c>
      <c r="N62" s="23">
        <v>0</v>
      </c>
      <c r="O62" s="17">
        <f>M62*(1-N62)</f>
        <v>3752</v>
      </c>
    </row>
    <row r="63" spans="1:15" ht="12.75" x14ac:dyDescent="0.2">
      <c r="A63" s="20">
        <v>44445</v>
      </c>
      <c r="B63" s="13" t="s">
        <v>11</v>
      </c>
      <c r="C63" s="13" t="s">
        <v>12</v>
      </c>
      <c r="D63" s="14">
        <f>VLOOKUP(C63,координаты!$A$1:$C$656,2,FALSE)</f>
        <v>34.049999999999997</v>
      </c>
      <c r="E63" s="21">
        <f>VLOOKUP(C63,координаты!$A$1:$C$656,3,FALSE)</f>
        <v>-118.24</v>
      </c>
      <c r="F63" s="18" t="s">
        <v>14</v>
      </c>
      <c r="G63" s="13" t="s">
        <v>65</v>
      </c>
      <c r="H63" s="13" t="s">
        <v>21</v>
      </c>
      <c r="I63" s="13" t="s">
        <v>22</v>
      </c>
      <c r="J63" s="15">
        <v>98</v>
      </c>
      <c r="K63" s="15">
        <v>49</v>
      </c>
      <c r="L63" s="22">
        <v>56</v>
      </c>
      <c r="M63" s="14">
        <f>J63*L63</f>
        <v>5488</v>
      </c>
      <c r="N63" s="23">
        <v>0</v>
      </c>
      <c r="O63" s="17">
        <f>M63*(1-N63)</f>
        <v>5488</v>
      </c>
    </row>
    <row r="64" spans="1:15" ht="12.75" x14ac:dyDescent="0.2">
      <c r="A64" s="20">
        <v>44450</v>
      </c>
      <c r="B64" s="13" t="s">
        <v>11</v>
      </c>
      <c r="C64" s="13" t="s">
        <v>18</v>
      </c>
      <c r="D64" s="14">
        <f>VLOOKUP(C64,координаты!$A$1:$C$656,2,FALSE)</f>
        <v>40.71</v>
      </c>
      <c r="E64" s="21">
        <f>VLOOKUP(C64,координаты!$A$1:$C$656,3,FALSE)</f>
        <v>-74.010000000000005</v>
      </c>
      <c r="F64" s="18" t="s">
        <v>27</v>
      </c>
      <c r="G64" s="13" t="s">
        <v>179</v>
      </c>
      <c r="H64" s="13" t="s">
        <v>32</v>
      </c>
      <c r="I64" s="13" t="s">
        <v>59</v>
      </c>
      <c r="J64" s="15">
        <v>47</v>
      </c>
      <c r="K64" s="15">
        <v>23</v>
      </c>
      <c r="L64" s="14">
        <v>56</v>
      </c>
      <c r="M64" s="14">
        <f>J64*L64</f>
        <v>2632</v>
      </c>
      <c r="N64" s="16">
        <v>0</v>
      </c>
      <c r="O64" s="17">
        <f>M64*(1-N64)</f>
        <v>2632</v>
      </c>
    </row>
    <row r="65" spans="1:15" ht="12.75" x14ac:dyDescent="0.2">
      <c r="A65" s="20">
        <v>44528</v>
      </c>
      <c r="B65" s="13" t="s">
        <v>11</v>
      </c>
      <c r="C65" s="13" t="s">
        <v>38</v>
      </c>
      <c r="D65" s="14">
        <f>VLOOKUP(C65,координаты!$A$1:$C$656,2,FALSE)</f>
        <v>29.76</v>
      </c>
      <c r="E65" s="21">
        <f>VLOOKUP(C65,координаты!$A$1:$C$656,3,FALSE)</f>
        <v>-95.36</v>
      </c>
      <c r="F65" s="13" t="s">
        <v>25</v>
      </c>
      <c r="G65" s="13" t="s">
        <v>140</v>
      </c>
      <c r="H65" s="13" t="s">
        <v>16</v>
      </c>
      <c r="I65" s="13" t="s">
        <v>29</v>
      </c>
      <c r="J65" s="15">
        <v>81</v>
      </c>
      <c r="K65" s="15">
        <v>35</v>
      </c>
      <c r="L65" s="14">
        <v>24</v>
      </c>
      <c r="M65" s="14">
        <f>J65*L65</f>
        <v>1944</v>
      </c>
      <c r="N65" s="16">
        <v>0.8</v>
      </c>
      <c r="O65" s="17">
        <f>M65*(1-N65)</f>
        <v>388.7999999999999</v>
      </c>
    </row>
    <row r="66" spans="1:15" ht="12.75" x14ac:dyDescent="0.2">
      <c r="A66" s="20">
        <v>44528</v>
      </c>
      <c r="B66" s="13" t="s">
        <v>11</v>
      </c>
      <c r="C66" s="18" t="s">
        <v>97</v>
      </c>
      <c r="D66" s="14">
        <f>VLOOKUP(C66,координаты!$A$1:$C$656,2,FALSE)</f>
        <v>37.549999999999997</v>
      </c>
      <c r="E66" s="21">
        <f>VLOOKUP(C66,координаты!$A$1:$C$656,3,FALSE)</f>
        <v>-121.99</v>
      </c>
      <c r="F66" s="13" t="s">
        <v>25</v>
      </c>
      <c r="G66" s="13" t="s">
        <v>100</v>
      </c>
      <c r="H66" s="13" t="s">
        <v>16</v>
      </c>
      <c r="I66" s="13" t="s">
        <v>64</v>
      </c>
      <c r="J66" s="15">
        <v>48</v>
      </c>
      <c r="K66" s="15">
        <v>23</v>
      </c>
      <c r="L66" s="22">
        <v>24</v>
      </c>
      <c r="M66" s="14">
        <f>J66*L66</f>
        <v>1152</v>
      </c>
      <c r="N66" s="23">
        <v>0.8</v>
      </c>
      <c r="O66" s="17">
        <f>M66*(1-N66)</f>
        <v>230.39999999999995</v>
      </c>
    </row>
    <row r="67" spans="1:15" ht="12.75" x14ac:dyDescent="0.2">
      <c r="A67" s="20">
        <v>44528</v>
      </c>
      <c r="B67" s="13" t="s">
        <v>11</v>
      </c>
      <c r="C67" s="13" t="s">
        <v>38</v>
      </c>
      <c r="D67" s="14">
        <f>VLOOKUP(C67,координаты!$A$1:$C$656,2,FALSE)</f>
        <v>29.76</v>
      </c>
      <c r="E67" s="21">
        <f>VLOOKUP(C67,координаты!$A$1:$C$656,3,FALSE)</f>
        <v>-95.36</v>
      </c>
      <c r="F67" s="13" t="s">
        <v>25</v>
      </c>
      <c r="G67" s="13" t="s">
        <v>175</v>
      </c>
      <c r="H67" s="13" t="s">
        <v>32</v>
      </c>
      <c r="I67" s="13" t="s">
        <v>59</v>
      </c>
      <c r="J67" s="15">
        <v>75</v>
      </c>
      <c r="K67" s="15">
        <v>39</v>
      </c>
      <c r="L67" s="14">
        <v>24</v>
      </c>
      <c r="M67" s="14">
        <f>J67*L67</f>
        <v>1800</v>
      </c>
      <c r="N67" s="16">
        <v>0.6</v>
      </c>
      <c r="O67" s="17">
        <f>M67*(1-N67)</f>
        <v>720</v>
      </c>
    </row>
    <row r="68" spans="1:15" ht="12.75" x14ac:dyDescent="0.2">
      <c r="A68" s="20">
        <v>44451</v>
      </c>
      <c r="B68" s="13" t="s">
        <v>11</v>
      </c>
      <c r="C68" s="13" t="s">
        <v>38</v>
      </c>
      <c r="D68" s="14">
        <f>VLOOKUP(C68,координаты!$A$1:$C$656,2,FALSE)</f>
        <v>29.76</v>
      </c>
      <c r="E68" s="21">
        <f>VLOOKUP(C68,координаты!$A$1:$C$656,3,FALSE)</f>
        <v>-95.36</v>
      </c>
      <c r="F68" s="13" t="s">
        <v>25</v>
      </c>
      <c r="G68" s="13" t="s">
        <v>141</v>
      </c>
      <c r="H68" s="13" t="s">
        <v>16</v>
      </c>
      <c r="I68" s="13" t="s">
        <v>17</v>
      </c>
      <c r="J68" s="15">
        <v>35</v>
      </c>
      <c r="K68" s="15">
        <v>15</v>
      </c>
      <c r="L68" s="14">
        <v>24</v>
      </c>
      <c r="M68" s="14">
        <f>J68*L68</f>
        <v>840</v>
      </c>
      <c r="N68" s="16">
        <v>0.2</v>
      </c>
      <c r="O68" s="17">
        <f>M68*(1-N68)</f>
        <v>672</v>
      </c>
    </row>
    <row r="69" spans="1:15" ht="12.75" x14ac:dyDescent="0.2">
      <c r="A69" s="20">
        <v>44528</v>
      </c>
      <c r="B69" s="13" t="s">
        <v>11</v>
      </c>
      <c r="C69" s="18" t="s">
        <v>97</v>
      </c>
      <c r="D69" s="14">
        <f>VLOOKUP(C69,координаты!$A$1:$C$656,2,FALSE)</f>
        <v>37.549999999999997</v>
      </c>
      <c r="E69" s="21">
        <f>VLOOKUP(C69,координаты!$A$1:$C$656,3,FALSE)</f>
        <v>-121.99</v>
      </c>
      <c r="F69" s="13" t="s">
        <v>25</v>
      </c>
      <c r="G69" s="13" t="s">
        <v>99</v>
      </c>
      <c r="H69" s="13" t="s">
        <v>16</v>
      </c>
      <c r="I69" s="13" t="s">
        <v>36</v>
      </c>
      <c r="J69" s="15">
        <v>134</v>
      </c>
      <c r="K69" s="15">
        <v>27</v>
      </c>
      <c r="L69" s="22">
        <v>40</v>
      </c>
      <c r="M69" s="14">
        <f>J69*L69</f>
        <v>5360</v>
      </c>
      <c r="N69" s="16">
        <v>0.6</v>
      </c>
      <c r="O69" s="17">
        <f>M69*(1-N69)</f>
        <v>2144</v>
      </c>
    </row>
    <row r="70" spans="1:15" ht="12.75" x14ac:dyDescent="0.2">
      <c r="A70" s="20">
        <v>44470</v>
      </c>
      <c r="B70" s="13" t="s">
        <v>11</v>
      </c>
      <c r="C70" s="13" t="s">
        <v>122</v>
      </c>
      <c r="D70" s="14">
        <f>VLOOKUP(C70,координаты!$A$1:$C$656,2,FALSE)</f>
        <v>44.02</v>
      </c>
      <c r="E70" s="21">
        <f>VLOOKUP(C70,координаты!$A$1:$C$656,3,FALSE)</f>
        <v>-92.47</v>
      </c>
      <c r="F70" s="13" t="s">
        <v>25</v>
      </c>
      <c r="G70" s="13" t="s">
        <v>124</v>
      </c>
      <c r="H70" s="13" t="s">
        <v>16</v>
      </c>
      <c r="I70" s="13" t="s">
        <v>58</v>
      </c>
      <c r="J70" s="15">
        <v>15</v>
      </c>
      <c r="K70" s="15">
        <v>8</v>
      </c>
      <c r="L70" s="14">
        <v>16</v>
      </c>
      <c r="M70" s="14">
        <f>J70*L70</f>
        <v>240</v>
      </c>
      <c r="N70" s="16">
        <v>0</v>
      </c>
      <c r="O70" s="17">
        <f>M70*(1-N70)</f>
        <v>240</v>
      </c>
    </row>
    <row r="71" spans="1:15" ht="12.75" x14ac:dyDescent="0.2">
      <c r="A71" s="20">
        <v>44527</v>
      </c>
      <c r="B71" s="13" t="s">
        <v>11</v>
      </c>
      <c r="C71" s="13" t="s">
        <v>150</v>
      </c>
      <c r="D71" s="14">
        <f>VLOOKUP(C71,координаты!$A$1:$C$656,2,FALSE)</f>
        <v>39.950000000000003</v>
      </c>
      <c r="E71" s="21">
        <f>VLOOKUP(C71,координаты!$A$1:$C$656,3,FALSE)</f>
        <v>-75.16</v>
      </c>
      <c r="F71" s="18" t="s">
        <v>14</v>
      </c>
      <c r="G71" s="13" t="s">
        <v>163</v>
      </c>
      <c r="H71" s="13" t="s">
        <v>32</v>
      </c>
      <c r="I71" s="13" t="s">
        <v>75</v>
      </c>
      <c r="J71" s="15">
        <v>45</v>
      </c>
      <c r="K71" s="15">
        <v>14</v>
      </c>
      <c r="L71" s="14">
        <v>56</v>
      </c>
      <c r="M71" s="14">
        <f>J71*L71</f>
        <v>2520</v>
      </c>
      <c r="N71" s="16">
        <v>0.5</v>
      </c>
      <c r="O71" s="17">
        <f>M71*(1-N71)</f>
        <v>1260</v>
      </c>
    </row>
    <row r="72" spans="1:15" ht="12.75" x14ac:dyDescent="0.2">
      <c r="A72" s="20">
        <v>44527</v>
      </c>
      <c r="B72" s="13" t="s">
        <v>11</v>
      </c>
      <c r="C72" s="13" t="s">
        <v>150</v>
      </c>
      <c r="D72" s="14">
        <f>VLOOKUP(C72,координаты!$A$1:$C$656,2,FALSE)</f>
        <v>39.950000000000003</v>
      </c>
      <c r="E72" s="21">
        <f>VLOOKUP(C72,координаты!$A$1:$C$656,3,FALSE)</f>
        <v>-75.16</v>
      </c>
      <c r="F72" s="18" t="s">
        <v>27</v>
      </c>
      <c r="G72" s="13" t="s">
        <v>162</v>
      </c>
      <c r="H72" s="13" t="s">
        <v>32</v>
      </c>
      <c r="I72" s="13" t="s">
        <v>48</v>
      </c>
      <c r="J72" s="15">
        <v>62</v>
      </c>
      <c r="K72" s="15">
        <v>29</v>
      </c>
      <c r="L72" s="14">
        <v>16</v>
      </c>
      <c r="M72" s="14">
        <f>J72*L72</f>
        <v>992</v>
      </c>
      <c r="N72" s="16">
        <v>0.3</v>
      </c>
      <c r="O72" s="17">
        <f>M72*(1-N72)</f>
        <v>694.4</v>
      </c>
    </row>
    <row r="73" spans="1:15" ht="12.75" x14ac:dyDescent="0.2">
      <c r="A73" s="20">
        <v>44527</v>
      </c>
      <c r="B73" s="13" t="s">
        <v>11</v>
      </c>
      <c r="C73" s="18" t="s">
        <v>142</v>
      </c>
      <c r="D73" s="14">
        <f>VLOOKUP(C73,координаты!$A$1:$C$656,2,FALSE)</f>
        <v>32.729999999999997</v>
      </c>
      <c r="E73" s="21">
        <f>VLOOKUP(C73,координаты!$A$1:$C$656,3,FALSE)</f>
        <v>-97.32</v>
      </c>
      <c r="F73" s="13" t="s">
        <v>25</v>
      </c>
      <c r="G73" s="13" t="s">
        <v>144</v>
      </c>
      <c r="H73" s="13" t="s">
        <v>16</v>
      </c>
      <c r="I73" s="13" t="s">
        <v>29</v>
      </c>
      <c r="J73" s="15">
        <v>124</v>
      </c>
      <c r="K73" s="15">
        <v>58</v>
      </c>
      <c r="L73" s="14">
        <v>24</v>
      </c>
      <c r="M73" s="14">
        <f>J73*L73</f>
        <v>2976</v>
      </c>
      <c r="N73" s="16">
        <v>0.6</v>
      </c>
      <c r="O73" s="17">
        <f>M73*(1-N73)</f>
        <v>1190.4000000000001</v>
      </c>
    </row>
    <row r="74" spans="1:15" ht="12.75" x14ac:dyDescent="0.2">
      <c r="A74" s="20">
        <v>44470</v>
      </c>
      <c r="B74" s="13" t="s">
        <v>11</v>
      </c>
      <c r="C74" s="18" t="s">
        <v>132</v>
      </c>
      <c r="D74" s="14">
        <f>VLOOKUP(C74,координаты!$A$1:$C$656,2,FALSE)</f>
        <v>39.159999999999997</v>
      </c>
      <c r="E74" s="21">
        <f>VLOOKUP(C74,координаты!$A$1:$C$656,3,FALSE)</f>
        <v>-75.52</v>
      </c>
      <c r="F74" s="18" t="s">
        <v>27</v>
      </c>
      <c r="G74" s="13" t="s">
        <v>134</v>
      </c>
      <c r="H74" s="13" t="s">
        <v>21</v>
      </c>
      <c r="I74" s="13" t="s">
        <v>22</v>
      </c>
      <c r="J74" s="15">
        <v>77</v>
      </c>
      <c r="K74" s="15">
        <v>27</v>
      </c>
      <c r="L74" s="14">
        <v>16</v>
      </c>
      <c r="M74" s="14">
        <f>J74*L74</f>
        <v>1232</v>
      </c>
      <c r="N74" s="16">
        <v>0</v>
      </c>
      <c r="O74" s="17">
        <f>M74*(1-N74)</f>
        <v>1232</v>
      </c>
    </row>
    <row r="75" spans="1:15" ht="12.75" x14ac:dyDescent="0.2">
      <c r="A75" s="20">
        <v>44527</v>
      </c>
      <c r="B75" s="13" t="s">
        <v>11</v>
      </c>
      <c r="C75" s="13" t="s">
        <v>145</v>
      </c>
      <c r="D75" s="14">
        <f>VLOOKUP(C75,координаты!$A$1:$C$656,2,FALSE)</f>
        <v>41.85</v>
      </c>
      <c r="E75" s="21">
        <f>VLOOKUP(C75,координаты!$A$1:$C$656,3,FALSE)</f>
        <v>-87.65</v>
      </c>
      <c r="F75" s="13" t="s">
        <v>25</v>
      </c>
      <c r="G75" s="13" t="s">
        <v>172</v>
      </c>
      <c r="H75" s="13" t="s">
        <v>32</v>
      </c>
      <c r="I75" s="13" t="s">
        <v>48</v>
      </c>
      <c r="J75" s="15">
        <v>85</v>
      </c>
      <c r="K75" s="15">
        <v>29</v>
      </c>
      <c r="L75" s="14">
        <v>40</v>
      </c>
      <c r="M75" s="14">
        <f>J75*L75</f>
        <v>3400</v>
      </c>
      <c r="N75" s="16">
        <v>0.3</v>
      </c>
      <c r="O75" s="17">
        <f>M75*(1-N75)</f>
        <v>2380</v>
      </c>
    </row>
    <row r="76" spans="1:15" ht="12.75" x14ac:dyDescent="0.2">
      <c r="A76" s="20">
        <v>44470</v>
      </c>
      <c r="B76" s="13" t="s">
        <v>11</v>
      </c>
      <c r="C76" s="18" t="s">
        <v>45</v>
      </c>
      <c r="D76" s="14">
        <f>VLOOKUP(C76,координаты!$A$1:$C$656,2,FALSE)</f>
        <v>42.61</v>
      </c>
      <c r="E76" s="21">
        <f>VLOOKUP(C76,координаты!$A$1:$C$656,3,FALSE)</f>
        <v>-83.15</v>
      </c>
      <c r="F76" s="18" t="s">
        <v>19</v>
      </c>
      <c r="G76" s="13" t="s">
        <v>52</v>
      </c>
      <c r="H76" s="13" t="s">
        <v>16</v>
      </c>
      <c r="I76" s="13" t="s">
        <v>29</v>
      </c>
      <c r="J76" s="15">
        <v>63</v>
      </c>
      <c r="K76" s="15">
        <v>25</v>
      </c>
      <c r="L76" s="22">
        <v>32</v>
      </c>
      <c r="M76" s="14">
        <f>J76*L76</f>
        <v>2016</v>
      </c>
      <c r="N76" s="23">
        <v>0</v>
      </c>
      <c r="O76" s="17">
        <f>M76*(1-N76)</f>
        <v>2016</v>
      </c>
    </row>
    <row r="77" spans="1:15" ht="12.75" x14ac:dyDescent="0.2">
      <c r="A77" s="20">
        <v>44526</v>
      </c>
      <c r="B77" s="13" t="s">
        <v>11</v>
      </c>
      <c r="C77" s="13" t="s">
        <v>102</v>
      </c>
      <c r="D77" s="14">
        <f>VLOOKUP(C77,координаты!$A$1:$C$656,2,FALSE)</f>
        <v>37.770000000000003</v>
      </c>
      <c r="E77" s="21">
        <f>VLOOKUP(C77,координаты!$A$1:$C$656,3,FALSE)</f>
        <v>-122.42</v>
      </c>
      <c r="F77" s="18" t="s">
        <v>14</v>
      </c>
      <c r="G77" s="13" t="s">
        <v>110</v>
      </c>
      <c r="H77" s="13" t="s">
        <v>16</v>
      </c>
      <c r="I77" s="13" t="s">
        <v>36</v>
      </c>
      <c r="J77" s="15">
        <v>80</v>
      </c>
      <c r="K77" s="15">
        <v>20</v>
      </c>
      <c r="L77" s="22">
        <v>48</v>
      </c>
      <c r="M77" s="14">
        <f>J77*L77</f>
        <v>3840</v>
      </c>
      <c r="N77" s="23">
        <v>0.7</v>
      </c>
      <c r="O77" s="17">
        <f>M77*(1-N77)</f>
        <v>1152.0000000000002</v>
      </c>
    </row>
    <row r="78" spans="1:15" ht="12.75" x14ac:dyDescent="0.2">
      <c r="A78" s="20">
        <v>44501</v>
      </c>
      <c r="B78" s="13" t="s">
        <v>11</v>
      </c>
      <c r="C78" s="13" t="s">
        <v>145</v>
      </c>
      <c r="D78" s="14">
        <f>VLOOKUP(C78,координаты!$A$1:$C$656,2,FALSE)</f>
        <v>41.85</v>
      </c>
      <c r="E78" s="21">
        <f>VLOOKUP(C78,координаты!$A$1:$C$656,3,FALSE)</f>
        <v>-87.65</v>
      </c>
      <c r="F78" s="13" t="s">
        <v>25</v>
      </c>
      <c r="G78" s="13" t="s">
        <v>146</v>
      </c>
      <c r="H78" s="13" t="s">
        <v>16</v>
      </c>
      <c r="I78" s="13" t="s">
        <v>17</v>
      </c>
      <c r="J78" s="15">
        <v>56</v>
      </c>
      <c r="K78" s="15">
        <v>23</v>
      </c>
      <c r="L78" s="14">
        <v>24</v>
      </c>
      <c r="M78" s="14">
        <f>J78*L78</f>
        <v>1344</v>
      </c>
      <c r="N78" s="16">
        <v>0.2</v>
      </c>
      <c r="O78" s="17">
        <f>M78*(1-N78)</f>
        <v>1075.2</v>
      </c>
    </row>
    <row r="79" spans="1:15" ht="12.75" x14ac:dyDescent="0.2">
      <c r="A79" s="20">
        <v>44501</v>
      </c>
      <c r="B79" s="13" t="s">
        <v>11</v>
      </c>
      <c r="C79" s="13" t="s">
        <v>150</v>
      </c>
      <c r="D79" s="14">
        <f>VLOOKUP(C79,координаты!$A$1:$C$656,2,FALSE)</f>
        <v>39.950000000000003</v>
      </c>
      <c r="E79" s="21">
        <f>VLOOKUP(C79,координаты!$A$1:$C$656,3,FALSE)</f>
        <v>-75.16</v>
      </c>
      <c r="F79" s="18" t="s">
        <v>14</v>
      </c>
      <c r="G79" s="13" t="s">
        <v>154</v>
      </c>
      <c r="H79" s="13" t="s">
        <v>16</v>
      </c>
      <c r="I79" s="13" t="s">
        <v>36</v>
      </c>
      <c r="J79" s="15">
        <v>103</v>
      </c>
      <c r="K79" s="15">
        <v>43</v>
      </c>
      <c r="L79" s="14">
        <v>48</v>
      </c>
      <c r="M79" s="14">
        <f>J79*L79</f>
        <v>4944</v>
      </c>
      <c r="N79" s="16">
        <v>0.2</v>
      </c>
      <c r="O79" s="17">
        <f>M79*(1-N79)</f>
        <v>3955.2000000000003</v>
      </c>
    </row>
    <row r="80" spans="1:15" ht="12.75" x14ac:dyDescent="0.2">
      <c r="A80" s="20">
        <v>44503</v>
      </c>
      <c r="B80" s="13" t="s">
        <v>11</v>
      </c>
      <c r="C80" s="18" t="s">
        <v>79</v>
      </c>
      <c r="D80" s="14">
        <f>VLOOKUP(C80,координаты!$A$1:$C$656,2,FALSE)</f>
        <v>44.8</v>
      </c>
      <c r="E80" s="21">
        <f>VLOOKUP(C80,координаты!$A$1:$C$656,3,FALSE)</f>
        <v>-93.17</v>
      </c>
      <c r="F80" s="13" t="s">
        <v>25</v>
      </c>
      <c r="G80" s="13" t="s">
        <v>81</v>
      </c>
      <c r="H80" s="13" t="s">
        <v>21</v>
      </c>
      <c r="I80" s="13" t="s">
        <v>51</v>
      </c>
      <c r="J80" s="15">
        <v>32</v>
      </c>
      <c r="K80" s="15">
        <v>15</v>
      </c>
      <c r="L80" s="22">
        <v>16</v>
      </c>
      <c r="M80" s="14">
        <f>J80*L80</f>
        <v>512</v>
      </c>
      <c r="N80" s="23">
        <v>0</v>
      </c>
      <c r="O80" s="17">
        <f>M80*(1-N80)</f>
        <v>512</v>
      </c>
    </row>
    <row r="81" spans="1:15" ht="12.75" x14ac:dyDescent="0.2">
      <c r="A81" s="20">
        <v>44503</v>
      </c>
      <c r="B81" s="13" t="s">
        <v>11</v>
      </c>
      <c r="C81" s="18" t="s">
        <v>79</v>
      </c>
      <c r="D81" s="14">
        <f>VLOOKUP(C81,координаты!$A$1:$C$656,2,FALSE)</f>
        <v>44.8</v>
      </c>
      <c r="E81" s="21">
        <f>VLOOKUP(C81,координаты!$A$1:$C$656,3,FALSE)</f>
        <v>-93.17</v>
      </c>
      <c r="F81" s="13" t="s">
        <v>25</v>
      </c>
      <c r="G81" s="13" t="s">
        <v>82</v>
      </c>
      <c r="H81" s="13" t="s">
        <v>16</v>
      </c>
      <c r="I81" s="13" t="s">
        <v>29</v>
      </c>
      <c r="J81" s="15">
        <v>144</v>
      </c>
      <c r="K81" s="15">
        <v>64</v>
      </c>
      <c r="L81" s="22">
        <v>16</v>
      </c>
      <c r="M81" s="14">
        <f>J81*L81</f>
        <v>2304</v>
      </c>
      <c r="N81" s="23">
        <v>0</v>
      </c>
      <c r="O81" s="17">
        <f>M81*(1-N81)</f>
        <v>2304</v>
      </c>
    </row>
    <row r="82" spans="1:15" ht="12.75" x14ac:dyDescent="0.2">
      <c r="A82" s="20">
        <v>44510</v>
      </c>
      <c r="B82" s="13" t="s">
        <v>11</v>
      </c>
      <c r="C82" s="18" t="s">
        <v>135</v>
      </c>
      <c r="D82" s="14">
        <f>VLOOKUP(C82,координаты!$A$1:$C$656,2,FALSE)</f>
        <v>26.12</v>
      </c>
      <c r="E82" s="21">
        <f>VLOOKUP(C82,координаты!$A$1:$C$656,3,FALSE)</f>
        <v>-80.14</v>
      </c>
      <c r="F82" s="18" t="s">
        <v>68</v>
      </c>
      <c r="G82" s="13" t="s">
        <v>136</v>
      </c>
      <c r="H82" s="13" t="s">
        <v>16</v>
      </c>
      <c r="I82" s="13" t="s">
        <v>17</v>
      </c>
      <c r="J82" s="15">
        <v>38</v>
      </c>
      <c r="K82" s="15">
        <v>16</v>
      </c>
      <c r="L82" s="14">
        <v>16</v>
      </c>
      <c r="M82" s="14">
        <f>J82*L82</f>
        <v>608</v>
      </c>
      <c r="N82" s="16">
        <v>0.2</v>
      </c>
      <c r="O82" s="17">
        <f>M82*(1-N82)</f>
        <v>486.40000000000003</v>
      </c>
    </row>
    <row r="83" spans="1:15" ht="12.75" x14ac:dyDescent="0.2">
      <c r="A83" s="20">
        <v>44511</v>
      </c>
      <c r="B83" s="13" t="s">
        <v>11</v>
      </c>
      <c r="C83" s="18" t="s">
        <v>23</v>
      </c>
      <c r="D83" s="14">
        <f>VLOOKUP(C83,координаты!$A$1:$C$656,2,FALSE)</f>
        <v>43.07</v>
      </c>
      <c r="E83" s="21">
        <f>VLOOKUP(C83,координаты!$A$1:$C$656,3,FALSE)</f>
        <v>-89.4</v>
      </c>
      <c r="F83" s="13" t="s">
        <v>25</v>
      </c>
      <c r="G83" s="13" t="s">
        <v>26</v>
      </c>
      <c r="H83" s="13" t="s">
        <v>16</v>
      </c>
      <c r="I83" s="13" t="s">
        <v>17</v>
      </c>
      <c r="J83" s="15">
        <v>23</v>
      </c>
      <c r="K83" s="15">
        <v>12</v>
      </c>
      <c r="L83" s="22">
        <v>8</v>
      </c>
      <c r="M83" s="14">
        <f>J83*L83</f>
        <v>184</v>
      </c>
      <c r="N83" s="16">
        <v>0</v>
      </c>
      <c r="O83" s="17">
        <f>M83*(1-N83)</f>
        <v>184</v>
      </c>
    </row>
    <row r="84" spans="1:15" ht="12.75" x14ac:dyDescent="0.2">
      <c r="A84" s="20">
        <v>44512</v>
      </c>
      <c r="B84" s="13" t="s">
        <v>11</v>
      </c>
      <c r="C84" s="13" t="s">
        <v>18</v>
      </c>
      <c r="D84" s="14">
        <f>VLOOKUP(C84,координаты!$A$1:$C$656,2,FALSE)</f>
        <v>40.71</v>
      </c>
      <c r="E84" s="21">
        <f>VLOOKUP(C84,координаты!$A$1:$C$656,3,FALSE)</f>
        <v>-74.010000000000005</v>
      </c>
      <c r="F84" s="18" t="s">
        <v>19</v>
      </c>
      <c r="G84" s="13" t="s">
        <v>20</v>
      </c>
      <c r="H84" s="13" t="s">
        <v>21</v>
      </c>
      <c r="I84" s="13" t="s">
        <v>22</v>
      </c>
      <c r="J84" s="15">
        <v>103</v>
      </c>
      <c r="K84" s="15">
        <v>49</v>
      </c>
      <c r="L84" s="22">
        <v>48</v>
      </c>
      <c r="M84" s="14">
        <f>J84*L84</f>
        <v>4944</v>
      </c>
      <c r="N84" s="23">
        <v>0</v>
      </c>
      <c r="O84" s="17">
        <f>M84*(1-N84)</f>
        <v>4944</v>
      </c>
    </row>
    <row r="85" spans="1:15" ht="12.75" x14ac:dyDescent="0.2">
      <c r="A85" s="20">
        <v>44550</v>
      </c>
      <c r="B85" s="13" t="s">
        <v>11</v>
      </c>
      <c r="C85" s="13" t="s">
        <v>150</v>
      </c>
      <c r="D85" s="14">
        <f>VLOOKUP(C85,координаты!$A$1:$C$656,2,FALSE)</f>
        <v>39.950000000000003</v>
      </c>
      <c r="E85" s="21">
        <f>VLOOKUP(C85,координаты!$A$1:$C$656,3,FALSE)</f>
        <v>-75.16</v>
      </c>
      <c r="F85" s="18" t="s">
        <v>14</v>
      </c>
      <c r="G85" s="13" t="s">
        <v>155</v>
      </c>
      <c r="H85" s="13" t="s">
        <v>16</v>
      </c>
      <c r="I85" s="13" t="s">
        <v>29</v>
      </c>
      <c r="J85" s="15">
        <v>144</v>
      </c>
      <c r="K85" s="15">
        <v>37</v>
      </c>
      <c r="L85" s="14">
        <v>48</v>
      </c>
      <c r="M85" s="14">
        <f>J85*L85</f>
        <v>6912</v>
      </c>
      <c r="N85" s="16">
        <v>0.7</v>
      </c>
      <c r="O85" s="17">
        <f>M85*(1-N85)</f>
        <v>2073.6000000000004</v>
      </c>
    </row>
    <row r="86" spans="1:15" ht="12.75" x14ac:dyDescent="0.2">
      <c r="A86" s="20">
        <v>44531</v>
      </c>
      <c r="B86" s="13" t="s">
        <v>11</v>
      </c>
      <c r="C86" s="13" t="s">
        <v>122</v>
      </c>
      <c r="D86" s="14">
        <f>VLOOKUP(C86,координаты!$A$1:$C$656,2,FALSE)</f>
        <v>44.02</v>
      </c>
      <c r="E86" s="21">
        <f>VLOOKUP(C86,координаты!$A$1:$C$656,3,FALSE)</f>
        <v>-92.47</v>
      </c>
      <c r="F86" s="13" t="s">
        <v>25</v>
      </c>
      <c r="G86" s="13" t="s">
        <v>123</v>
      </c>
      <c r="H86" s="13" t="s">
        <v>21</v>
      </c>
      <c r="I86" s="13" t="s">
        <v>51</v>
      </c>
      <c r="J86" s="15">
        <v>40</v>
      </c>
      <c r="K86" s="15">
        <v>20</v>
      </c>
      <c r="L86" s="14">
        <v>8</v>
      </c>
      <c r="M86" s="14">
        <f>J86*L86</f>
        <v>320</v>
      </c>
      <c r="N86" s="16">
        <v>0</v>
      </c>
      <c r="O86" s="17">
        <f>M86*(1-N86)</f>
        <v>320</v>
      </c>
    </row>
    <row r="87" spans="1:15" ht="12.75" x14ac:dyDescent="0.2">
      <c r="A87" s="20">
        <v>44531</v>
      </c>
      <c r="B87" s="13" t="s">
        <v>11</v>
      </c>
      <c r="C87" s="13" t="s">
        <v>30</v>
      </c>
      <c r="D87" s="14">
        <f>VLOOKUP(C87,координаты!$A$1:$C$656,2,FALSE)</f>
        <v>40.299999999999997</v>
      </c>
      <c r="E87" s="21">
        <f>VLOOKUP(C87,координаты!$A$1:$C$656,3,FALSE)</f>
        <v>-111.7</v>
      </c>
      <c r="F87" s="18" t="s">
        <v>14</v>
      </c>
      <c r="G87" s="13" t="s">
        <v>159</v>
      </c>
      <c r="H87" s="13" t="s">
        <v>32</v>
      </c>
      <c r="I87" s="18" t="s">
        <v>762</v>
      </c>
      <c r="J87" s="15">
        <v>47</v>
      </c>
      <c r="K87" s="15">
        <v>22</v>
      </c>
      <c r="L87" s="22">
        <v>24</v>
      </c>
      <c r="M87" s="14">
        <f>J87*L87</f>
        <v>1128</v>
      </c>
      <c r="N87" s="23">
        <v>0.2</v>
      </c>
      <c r="O87" s="17">
        <f>M87*(1-N87)</f>
        <v>902.40000000000009</v>
      </c>
    </row>
    <row r="88" spans="1:15" ht="12.75" x14ac:dyDescent="0.2">
      <c r="A88" s="20">
        <v>44531</v>
      </c>
      <c r="B88" s="13" t="s">
        <v>11</v>
      </c>
      <c r="C88" s="13" t="s">
        <v>147</v>
      </c>
      <c r="D88" s="14">
        <f>VLOOKUP(C88,координаты!$A$1:$C$656,2,FALSE)</f>
        <v>35.15</v>
      </c>
      <c r="E88" s="21">
        <f>VLOOKUP(C88,координаты!$A$1:$C$656,3,FALSE)</f>
        <v>-90.05</v>
      </c>
      <c r="F88" s="18" t="s">
        <v>68</v>
      </c>
      <c r="G88" s="13" t="s">
        <v>173</v>
      </c>
      <c r="H88" s="13" t="s">
        <v>32</v>
      </c>
      <c r="I88" s="13" t="s">
        <v>48</v>
      </c>
      <c r="J88" s="15">
        <v>35</v>
      </c>
      <c r="K88" s="15">
        <v>17</v>
      </c>
      <c r="L88" s="14">
        <v>64</v>
      </c>
      <c r="M88" s="14">
        <f>J88*L88</f>
        <v>2240</v>
      </c>
      <c r="N88" s="16">
        <v>0.2</v>
      </c>
      <c r="O88" s="17">
        <f>M88*(1-N88)</f>
        <v>1792</v>
      </c>
    </row>
    <row r="89" spans="1:15" ht="12.75" x14ac:dyDescent="0.2">
      <c r="A89" s="20">
        <v>44531</v>
      </c>
      <c r="B89" s="13" t="s">
        <v>11</v>
      </c>
      <c r="C89" s="18" t="s">
        <v>45</v>
      </c>
      <c r="D89" s="14">
        <f>VLOOKUP(C89,координаты!$A$1:$C$656,2,FALSE)</f>
        <v>42.61</v>
      </c>
      <c r="E89" s="21">
        <f>VLOOKUP(C89,координаты!$A$1:$C$656,3,FALSE)</f>
        <v>-83.15</v>
      </c>
      <c r="F89" s="18" t="s">
        <v>19</v>
      </c>
      <c r="G89" s="13" t="s">
        <v>170</v>
      </c>
      <c r="H89" s="13" t="s">
        <v>32</v>
      </c>
      <c r="I89" s="13" t="s">
        <v>48</v>
      </c>
      <c r="J89" s="15">
        <v>35</v>
      </c>
      <c r="K89" s="15">
        <v>17</v>
      </c>
      <c r="L89" s="22">
        <v>72</v>
      </c>
      <c r="M89" s="14">
        <f>J89*L89</f>
        <v>2520</v>
      </c>
      <c r="N89" s="23">
        <v>0</v>
      </c>
      <c r="O89" s="17">
        <f>M89*(1-N89)</f>
        <v>2520</v>
      </c>
    </row>
    <row r="90" spans="1:15" ht="12.75" x14ac:dyDescent="0.2">
      <c r="A90" s="20">
        <v>44531</v>
      </c>
      <c r="B90" s="13" t="s">
        <v>11</v>
      </c>
      <c r="C90" s="18" t="s">
        <v>66</v>
      </c>
      <c r="D90" s="14">
        <f>VLOOKUP(C90,координаты!$A$1:$C$656,2,FALSE)</f>
        <v>37.979999999999997</v>
      </c>
      <c r="E90" s="21">
        <f>VLOOKUP(C90,координаты!$A$1:$C$656,3,FALSE)</f>
        <v>-122.03</v>
      </c>
      <c r="F90" s="18" t="s">
        <v>68</v>
      </c>
      <c r="G90" s="13" t="s">
        <v>69</v>
      </c>
      <c r="H90" s="13" t="s">
        <v>16</v>
      </c>
      <c r="I90" s="18" t="s">
        <v>41</v>
      </c>
      <c r="J90" s="15">
        <v>665</v>
      </c>
      <c r="K90" s="15">
        <v>466</v>
      </c>
      <c r="L90" s="22">
        <v>16</v>
      </c>
      <c r="M90" s="14">
        <f>J90*L90</f>
        <v>10640</v>
      </c>
      <c r="N90" s="23">
        <v>0.1</v>
      </c>
      <c r="O90" s="17">
        <f>M90*(1-N90)</f>
        <v>9576</v>
      </c>
    </row>
    <row r="91" spans="1:15" ht="12.75" x14ac:dyDescent="0.2">
      <c r="A91" s="20">
        <v>44536</v>
      </c>
      <c r="B91" s="13" t="s">
        <v>11</v>
      </c>
      <c r="C91" s="13" t="s">
        <v>12</v>
      </c>
      <c r="D91" s="14">
        <f>VLOOKUP(C91,координаты!$A$1:$C$656,2,FALSE)</f>
        <v>34.049999999999997</v>
      </c>
      <c r="E91" s="21">
        <f>VLOOKUP(C91,координаты!$A$1:$C$656,3,FALSE)</f>
        <v>-118.24</v>
      </c>
      <c r="F91" s="18" t="s">
        <v>14</v>
      </c>
      <c r="G91" s="13" t="s">
        <v>101</v>
      </c>
      <c r="H91" s="13" t="s">
        <v>16</v>
      </c>
      <c r="I91" s="13" t="s">
        <v>58</v>
      </c>
      <c r="J91" s="15">
        <v>10</v>
      </c>
      <c r="K91" s="15">
        <v>2</v>
      </c>
      <c r="L91" s="22">
        <v>24</v>
      </c>
      <c r="M91" s="14">
        <f>J91*L91</f>
        <v>240</v>
      </c>
      <c r="N91" s="16">
        <v>0</v>
      </c>
      <c r="O91" s="17">
        <f>M91*(1-N91)</f>
        <v>240</v>
      </c>
    </row>
    <row r="92" spans="1:15" ht="12.75" x14ac:dyDescent="0.2">
      <c r="A92" s="20">
        <v>44536</v>
      </c>
      <c r="B92" s="13" t="s">
        <v>11</v>
      </c>
      <c r="C92" s="18" t="s">
        <v>90</v>
      </c>
      <c r="D92" s="14">
        <f>VLOOKUP(C92,координаты!$A$1:$C$656,2,FALSE)</f>
        <v>34.61</v>
      </c>
      <c r="E92" s="21">
        <f>VLOOKUP(C92,координаты!$A$1:$C$656,3,FALSE)</f>
        <v>-86.98</v>
      </c>
      <c r="F92" s="18" t="s">
        <v>68</v>
      </c>
      <c r="G92" s="13" t="s">
        <v>92</v>
      </c>
      <c r="H92" s="13" t="s">
        <v>16</v>
      </c>
      <c r="I92" s="13" t="s">
        <v>64</v>
      </c>
      <c r="J92" s="15">
        <v>60</v>
      </c>
      <c r="K92" s="15">
        <v>22</v>
      </c>
      <c r="L92" s="22">
        <v>24</v>
      </c>
      <c r="M92" s="14">
        <f>J92*L92</f>
        <v>1440</v>
      </c>
      <c r="N92" s="23">
        <v>0.2</v>
      </c>
      <c r="O92" s="17">
        <f>M92*(1-N92)</f>
        <v>1152</v>
      </c>
    </row>
    <row r="93" spans="1:15" ht="12.75" x14ac:dyDescent="0.2">
      <c r="A93" s="20">
        <v>44536</v>
      </c>
      <c r="B93" s="13" t="s">
        <v>11</v>
      </c>
      <c r="C93" s="18" t="s">
        <v>90</v>
      </c>
      <c r="D93" s="14">
        <f>VLOOKUP(C93,координаты!$A$1:$C$656,2,FALSE)</f>
        <v>34.61</v>
      </c>
      <c r="E93" s="21">
        <f>VLOOKUP(C93,координаты!$A$1:$C$656,3,FALSE)</f>
        <v>-86.98</v>
      </c>
      <c r="F93" s="18" t="s">
        <v>68</v>
      </c>
      <c r="G93" s="13" t="s">
        <v>93</v>
      </c>
      <c r="H93" s="13" t="s">
        <v>16</v>
      </c>
      <c r="I93" s="13" t="s">
        <v>29</v>
      </c>
      <c r="J93" s="15">
        <v>149</v>
      </c>
      <c r="K93" s="15">
        <v>68</v>
      </c>
      <c r="L93" s="22">
        <v>16</v>
      </c>
      <c r="M93" s="14">
        <f>J93*L93</f>
        <v>2384</v>
      </c>
      <c r="N93" s="23">
        <v>0</v>
      </c>
      <c r="O93" s="17">
        <f>M93*(1-N93)</f>
        <v>2384</v>
      </c>
    </row>
    <row r="94" spans="1:15" ht="12.75" x14ac:dyDescent="0.2">
      <c r="A94" s="20">
        <v>44552</v>
      </c>
      <c r="B94" s="13" t="s">
        <v>11</v>
      </c>
      <c r="C94" s="13" t="s">
        <v>102</v>
      </c>
      <c r="D94" s="14">
        <f>VLOOKUP(C94,координаты!$A$1:$C$656,2,FALSE)</f>
        <v>37.770000000000003</v>
      </c>
      <c r="E94" s="21">
        <f>VLOOKUP(C94,координаты!$A$1:$C$656,3,FALSE)</f>
        <v>-122.42</v>
      </c>
      <c r="F94" s="18" t="s">
        <v>14</v>
      </c>
      <c r="G94" s="13" t="s">
        <v>104</v>
      </c>
      <c r="H94" s="13" t="s">
        <v>16</v>
      </c>
      <c r="I94" s="13" t="s">
        <v>17</v>
      </c>
      <c r="J94" s="15">
        <v>39</v>
      </c>
      <c r="K94" s="15">
        <v>15</v>
      </c>
      <c r="L94" s="22">
        <v>16</v>
      </c>
      <c r="M94" s="14">
        <f>J94*L94</f>
        <v>624</v>
      </c>
      <c r="N94" s="23">
        <v>0.7</v>
      </c>
      <c r="O94" s="17">
        <f>M94*(1-N94)</f>
        <v>187.20000000000002</v>
      </c>
    </row>
    <row r="95" spans="1:15" ht="12.75" x14ac:dyDescent="0.2">
      <c r="A95" s="20">
        <v>44540</v>
      </c>
      <c r="B95" s="13" t="s">
        <v>11</v>
      </c>
      <c r="C95" s="13" t="s">
        <v>102</v>
      </c>
      <c r="D95" s="14">
        <f>VLOOKUP(C95,координаты!$A$1:$C$656,2,FALSE)</f>
        <v>37.770000000000003</v>
      </c>
      <c r="E95" s="21">
        <f>VLOOKUP(C95,координаты!$A$1:$C$656,3,FALSE)</f>
        <v>-122.42</v>
      </c>
      <c r="F95" s="18" t="s">
        <v>14</v>
      </c>
      <c r="G95" s="13" t="s">
        <v>103</v>
      </c>
      <c r="H95" s="13" t="s">
        <v>16</v>
      </c>
      <c r="I95" s="13" t="s">
        <v>36</v>
      </c>
      <c r="J95" s="15">
        <v>94</v>
      </c>
      <c r="K95" s="15">
        <v>33</v>
      </c>
      <c r="L95" s="22">
        <v>8</v>
      </c>
      <c r="M95" s="14">
        <f>J95*L95</f>
        <v>752</v>
      </c>
      <c r="N95" s="23">
        <v>0.2</v>
      </c>
      <c r="O95" s="17">
        <f>M95*(1-N95)</f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A14" sqref="A14"/>
    </sheetView>
  </sheetViews>
  <sheetFormatPr defaultRowHeight="12.75" x14ac:dyDescent="0.2"/>
  <cols>
    <col min="1" max="1" width="21" customWidth="1"/>
    <col min="2" max="2" width="23.140625" customWidth="1"/>
  </cols>
  <sheetData>
    <row r="1" spans="1:2" x14ac:dyDescent="0.2">
      <c r="A1" s="8" t="s">
        <v>2</v>
      </c>
      <c r="B1" s="8" t="s">
        <v>5</v>
      </c>
    </row>
    <row r="2" spans="1:2" x14ac:dyDescent="0.2">
      <c r="A2" s="7" t="s">
        <v>90</v>
      </c>
      <c r="B2" s="6" t="s">
        <v>91</v>
      </c>
    </row>
    <row r="3" spans="1:2" x14ac:dyDescent="0.2">
      <c r="A3" s="6" t="s">
        <v>33</v>
      </c>
      <c r="B3" s="6" t="s">
        <v>34</v>
      </c>
    </row>
    <row r="4" spans="1:2" x14ac:dyDescent="0.2">
      <c r="A4" s="6" t="s">
        <v>127</v>
      </c>
      <c r="B4" s="6" t="s">
        <v>128</v>
      </c>
    </row>
    <row r="5" spans="1:2" x14ac:dyDescent="0.2">
      <c r="A5" s="6" t="s">
        <v>83</v>
      </c>
      <c r="B5" s="6" t="s">
        <v>84</v>
      </c>
    </row>
    <row r="6" spans="1:2" x14ac:dyDescent="0.2">
      <c r="A6" s="7" t="s">
        <v>23</v>
      </c>
      <c r="B6" s="6" t="s">
        <v>24</v>
      </c>
    </row>
    <row r="7" spans="1:2" x14ac:dyDescent="0.2">
      <c r="A7" s="7" t="s">
        <v>132</v>
      </c>
      <c r="B7" s="6" t="s">
        <v>133</v>
      </c>
    </row>
    <row r="8" spans="1:2" x14ac:dyDescent="0.2">
      <c r="A8" s="6" t="s">
        <v>145</v>
      </c>
      <c r="B8" s="6" t="s">
        <v>87</v>
      </c>
    </row>
    <row r="9" spans="1:2" x14ac:dyDescent="0.2">
      <c r="A9" s="7" t="s">
        <v>54</v>
      </c>
      <c r="B9" s="6" t="s">
        <v>55</v>
      </c>
    </row>
    <row r="10" spans="1:2" x14ac:dyDescent="0.2">
      <c r="A10" s="6" t="s">
        <v>102</v>
      </c>
      <c r="B10" s="6" t="s">
        <v>13</v>
      </c>
    </row>
    <row r="11" spans="1:2" x14ac:dyDescent="0.2">
      <c r="A11" s="6" t="s">
        <v>12</v>
      </c>
      <c r="B11" s="6" t="s">
        <v>13</v>
      </c>
    </row>
    <row r="12" spans="1:2" x14ac:dyDescent="0.2">
      <c r="A12" s="6" t="s">
        <v>120</v>
      </c>
      <c r="B12" s="6" t="s">
        <v>121</v>
      </c>
    </row>
    <row r="13" spans="1:2" x14ac:dyDescent="0.2">
      <c r="A13" s="6" t="s">
        <v>122</v>
      </c>
      <c r="B13" s="6" t="s">
        <v>80</v>
      </c>
    </row>
    <row r="14" spans="1:2" x14ac:dyDescent="0.2">
      <c r="A14" s="7" t="s">
        <v>79</v>
      </c>
      <c r="B14" s="6" t="s">
        <v>80</v>
      </c>
    </row>
    <row r="15" spans="1:2" x14ac:dyDescent="0.2">
      <c r="A15" s="6" t="s">
        <v>115</v>
      </c>
      <c r="B15" s="6" t="s">
        <v>80</v>
      </c>
    </row>
    <row r="16" spans="1:2" x14ac:dyDescent="0.2">
      <c r="A16" s="7" t="s">
        <v>113</v>
      </c>
      <c r="B16" s="6" t="s">
        <v>71</v>
      </c>
    </row>
    <row r="17" spans="1:2" x14ac:dyDescent="0.2">
      <c r="A17" s="6" t="s">
        <v>70</v>
      </c>
      <c r="B17" s="6" t="s">
        <v>71</v>
      </c>
    </row>
    <row r="18" spans="1:2" x14ac:dyDescent="0.2">
      <c r="A18" s="7" t="s">
        <v>97</v>
      </c>
      <c r="B18" s="6" t="s">
        <v>98</v>
      </c>
    </row>
    <row r="19" spans="1:2" x14ac:dyDescent="0.2">
      <c r="A19" s="7" t="s">
        <v>45</v>
      </c>
      <c r="B19" s="6" t="s">
        <v>18</v>
      </c>
    </row>
    <row r="20" spans="1:2" x14ac:dyDescent="0.2">
      <c r="A20" s="6" t="s">
        <v>18</v>
      </c>
      <c r="B20" s="6" t="s">
        <v>18</v>
      </c>
    </row>
    <row r="21" spans="1:2" x14ac:dyDescent="0.2">
      <c r="A21" s="6" t="s">
        <v>137</v>
      </c>
      <c r="B21" s="6" t="s">
        <v>138</v>
      </c>
    </row>
    <row r="22" spans="1:2" x14ac:dyDescent="0.2">
      <c r="A22" s="6" t="s">
        <v>150</v>
      </c>
      <c r="B22" s="6" t="s">
        <v>151</v>
      </c>
    </row>
    <row r="23" spans="1:2" x14ac:dyDescent="0.2">
      <c r="A23" s="7" t="s">
        <v>118</v>
      </c>
      <c r="B23" s="6" t="s">
        <v>67</v>
      </c>
    </row>
    <row r="24" spans="1:2" x14ac:dyDescent="0.2">
      <c r="A24" s="7" t="s">
        <v>66</v>
      </c>
      <c r="B24" s="6" t="s">
        <v>67</v>
      </c>
    </row>
    <row r="25" spans="1:2" x14ac:dyDescent="0.2">
      <c r="A25" s="6" t="s">
        <v>147</v>
      </c>
      <c r="B25" s="6" t="s">
        <v>148</v>
      </c>
    </row>
    <row r="26" spans="1:2" x14ac:dyDescent="0.2">
      <c r="A26" s="6" t="s">
        <v>38</v>
      </c>
      <c r="B26" s="6" t="s">
        <v>39</v>
      </c>
    </row>
    <row r="27" spans="1:2" x14ac:dyDescent="0.2">
      <c r="A27" s="7" t="s">
        <v>142</v>
      </c>
      <c r="B27" s="6" t="s">
        <v>39</v>
      </c>
    </row>
    <row r="28" spans="1:2" x14ac:dyDescent="0.2">
      <c r="A28" s="6" t="s">
        <v>77</v>
      </c>
      <c r="B28" s="6" t="s">
        <v>39</v>
      </c>
    </row>
    <row r="29" spans="1:2" x14ac:dyDescent="0.2">
      <c r="A29" s="7" t="s">
        <v>135</v>
      </c>
      <c r="B29" s="6" t="s">
        <v>106</v>
      </c>
    </row>
    <row r="30" spans="1:2" x14ac:dyDescent="0.2">
      <c r="A30" s="6" t="s">
        <v>105</v>
      </c>
      <c r="B30" s="6" t="s">
        <v>106</v>
      </c>
    </row>
    <row r="31" spans="1:2" x14ac:dyDescent="0.2">
      <c r="A31" s="6" t="s">
        <v>108</v>
      </c>
      <c r="B31" s="6" t="s">
        <v>109</v>
      </c>
    </row>
    <row r="32" spans="1:2" x14ac:dyDescent="0.2">
      <c r="A32" s="7" t="s">
        <v>130</v>
      </c>
      <c r="B32" s="6" t="s">
        <v>31</v>
      </c>
    </row>
    <row r="33" spans="1:2" x14ac:dyDescent="0.2">
      <c r="A33" s="6" t="s">
        <v>30</v>
      </c>
      <c r="B33" s="6" t="s">
        <v>31</v>
      </c>
    </row>
  </sheetData>
  <autoFilter ref="A1:B33">
    <sortState ref="A2:B33">
      <sortCondition ref="B1:B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56"/>
  <sheetViews>
    <sheetView topLeftCell="A524" workbookViewId="0">
      <selection activeCell="A560" sqref="A560"/>
    </sheetView>
  </sheetViews>
  <sheetFormatPr defaultColWidth="12.5703125" defaultRowHeight="15.75" customHeight="1" x14ac:dyDescent="0.2"/>
  <cols>
    <col min="1" max="1" width="35.42578125" customWidth="1"/>
    <col min="2" max="2" width="13.7109375" customWidth="1"/>
  </cols>
  <sheetData>
    <row r="1" spans="1:3" ht="15.75" customHeight="1" x14ac:dyDescent="0.25">
      <c r="A1" s="2" t="s">
        <v>128</v>
      </c>
      <c r="B1" s="1">
        <v>38.9</v>
      </c>
      <c r="C1" s="1">
        <v>-77.040000000000006</v>
      </c>
    </row>
    <row r="2" spans="1:3" ht="15.75" customHeight="1" x14ac:dyDescent="0.25">
      <c r="A2" s="2" t="s">
        <v>180</v>
      </c>
      <c r="B2" s="1">
        <v>32.450000000000003</v>
      </c>
      <c r="C2" s="1">
        <v>-99.73</v>
      </c>
    </row>
    <row r="3" spans="1:3" ht="15.75" customHeight="1" x14ac:dyDescent="0.25">
      <c r="A3" s="2" t="s">
        <v>181</v>
      </c>
      <c r="B3" s="1">
        <v>41.76</v>
      </c>
      <c r="C3" s="1">
        <v>-88.32</v>
      </c>
    </row>
    <row r="4" spans="1:3" ht="15.75" customHeight="1" x14ac:dyDescent="0.25">
      <c r="A4" s="2" t="s">
        <v>182</v>
      </c>
      <c r="B4" s="1">
        <v>43.47</v>
      </c>
      <c r="C4" s="1">
        <v>-112.03</v>
      </c>
    </row>
    <row r="5" spans="1:3" ht="15.75" customHeight="1" x14ac:dyDescent="0.25">
      <c r="A5" s="2" t="s">
        <v>183</v>
      </c>
      <c r="B5" s="1">
        <v>41.66</v>
      </c>
      <c r="C5" s="1">
        <v>-91.53</v>
      </c>
    </row>
    <row r="6" spans="1:3" ht="15.75" customHeight="1" x14ac:dyDescent="0.25">
      <c r="A6" s="2" t="s">
        <v>184</v>
      </c>
      <c r="B6" s="1">
        <v>41.08</v>
      </c>
      <c r="C6" s="1">
        <v>-81.52</v>
      </c>
    </row>
    <row r="7" spans="1:3" ht="15.75" customHeight="1" x14ac:dyDescent="0.25">
      <c r="A7" s="2" t="s">
        <v>185</v>
      </c>
      <c r="B7" s="1">
        <v>37.770000000000003</v>
      </c>
      <c r="C7" s="1">
        <v>-122.24</v>
      </c>
    </row>
    <row r="8" spans="1:3" ht="15.75" customHeight="1" x14ac:dyDescent="0.25">
      <c r="A8" s="2" t="s">
        <v>186</v>
      </c>
      <c r="B8" s="1">
        <v>38.799999999999997</v>
      </c>
      <c r="C8" s="1">
        <v>-77.05</v>
      </c>
    </row>
    <row r="9" spans="1:3" ht="15.75" customHeight="1" x14ac:dyDescent="0.25">
      <c r="A9" s="2" t="s">
        <v>187</v>
      </c>
      <c r="B9" s="1">
        <v>33.1</v>
      </c>
      <c r="C9" s="1">
        <v>-96.67</v>
      </c>
    </row>
    <row r="10" spans="1:3" ht="15.75" customHeight="1" x14ac:dyDescent="0.25">
      <c r="A10" s="2" t="s">
        <v>188</v>
      </c>
      <c r="B10" s="1">
        <v>40.61</v>
      </c>
      <c r="C10" s="1">
        <v>-75.489999999999995</v>
      </c>
    </row>
    <row r="11" spans="1:3" ht="15.75" customHeight="1" x14ac:dyDescent="0.25">
      <c r="A11" s="2" t="s">
        <v>189</v>
      </c>
      <c r="B11" s="1">
        <v>35.08</v>
      </c>
      <c r="C11" s="1">
        <v>-106.65</v>
      </c>
    </row>
    <row r="12" spans="1:3" ht="15.75" customHeight="1" x14ac:dyDescent="0.25">
      <c r="A12" s="2" t="s">
        <v>190</v>
      </c>
      <c r="B12" s="1">
        <v>34.1</v>
      </c>
      <c r="C12" s="1">
        <v>-118.13</v>
      </c>
    </row>
    <row r="13" spans="1:3" ht="15.75" customHeight="1" x14ac:dyDescent="0.25">
      <c r="A13" s="2" t="s">
        <v>191</v>
      </c>
      <c r="B13" s="1">
        <v>34.08</v>
      </c>
      <c r="C13" s="1">
        <v>-84.29</v>
      </c>
    </row>
    <row r="14" spans="1:3" ht="15.75" customHeight="1" x14ac:dyDescent="0.25">
      <c r="A14" s="2" t="s">
        <v>192</v>
      </c>
      <c r="B14" s="1">
        <v>35.22</v>
      </c>
      <c r="C14" s="1">
        <v>-101.83</v>
      </c>
    </row>
    <row r="15" spans="1:3" ht="15.75" customHeight="1" x14ac:dyDescent="0.25">
      <c r="A15" s="2" t="s">
        <v>193</v>
      </c>
      <c r="B15" s="1">
        <v>42.98</v>
      </c>
      <c r="C15" s="1">
        <v>-78.8</v>
      </c>
    </row>
    <row r="16" spans="1:3" ht="15.75" customHeight="1" x14ac:dyDescent="0.25">
      <c r="A16" s="2" t="s">
        <v>194</v>
      </c>
      <c r="B16" s="1">
        <v>33.840000000000003</v>
      </c>
      <c r="C16" s="1">
        <v>-117.91</v>
      </c>
    </row>
    <row r="17" spans="1:3" ht="15.75" customHeight="1" x14ac:dyDescent="0.25">
      <c r="A17" s="2" t="s">
        <v>195</v>
      </c>
      <c r="B17" s="1">
        <v>40.11</v>
      </c>
      <c r="C17" s="1">
        <v>-85.68</v>
      </c>
    </row>
    <row r="18" spans="1:3" ht="15.75" customHeight="1" x14ac:dyDescent="0.25">
      <c r="A18" s="2" t="s">
        <v>196</v>
      </c>
      <c r="B18" s="1">
        <v>61.22</v>
      </c>
      <c r="C18" s="1">
        <v>-149.9</v>
      </c>
    </row>
    <row r="19" spans="1:3" ht="15.75" customHeight="1" x14ac:dyDescent="0.25">
      <c r="A19" s="2" t="s">
        <v>197</v>
      </c>
      <c r="B19" s="1">
        <v>38.979999999999997</v>
      </c>
      <c r="C19" s="1">
        <v>-76.489999999999995</v>
      </c>
    </row>
    <row r="20" spans="1:3" ht="15.75" customHeight="1" x14ac:dyDescent="0.25">
      <c r="A20" s="2" t="s">
        <v>198</v>
      </c>
      <c r="B20" s="5">
        <v>38</v>
      </c>
      <c r="C20" s="1">
        <v>-121.81</v>
      </c>
    </row>
    <row r="21" spans="1:3" ht="15.75" customHeight="1" x14ac:dyDescent="0.25">
      <c r="A21" s="2" t="s">
        <v>199</v>
      </c>
      <c r="B21" s="1">
        <v>44.26</v>
      </c>
      <c r="C21" s="1">
        <v>-88.42</v>
      </c>
    </row>
    <row r="22" spans="1:3" ht="15" x14ac:dyDescent="0.25">
      <c r="A22" s="2" t="s">
        <v>200</v>
      </c>
      <c r="B22" s="1">
        <v>39.799999999999997</v>
      </c>
      <c r="C22" s="1">
        <v>-105.09</v>
      </c>
    </row>
    <row r="23" spans="1:3" ht="15" x14ac:dyDescent="0.25">
      <c r="A23" s="2" t="s">
        <v>201</v>
      </c>
      <c r="B23" s="1">
        <v>34.14</v>
      </c>
      <c r="C23" s="1">
        <v>-118.04</v>
      </c>
    </row>
    <row r="24" spans="1:3" ht="15" x14ac:dyDescent="0.25">
      <c r="A24" s="2" t="s">
        <v>202</v>
      </c>
      <c r="B24" s="1">
        <v>32.74</v>
      </c>
      <c r="C24" s="1">
        <v>-97.11</v>
      </c>
    </row>
    <row r="25" spans="1:3" ht="15" x14ac:dyDescent="0.25">
      <c r="A25" s="2" t="s">
        <v>202</v>
      </c>
      <c r="B25" s="1">
        <v>38.880000000000003</v>
      </c>
      <c r="C25" s="1">
        <v>-77.099999999999994</v>
      </c>
    </row>
    <row r="26" spans="1:3" ht="15" x14ac:dyDescent="0.25">
      <c r="A26" s="2" t="s">
        <v>203</v>
      </c>
      <c r="B26" s="1">
        <v>42.09</v>
      </c>
      <c r="C26" s="1">
        <v>-87.98</v>
      </c>
    </row>
    <row r="27" spans="1:3" ht="15" x14ac:dyDescent="0.25">
      <c r="A27" s="2" t="s">
        <v>204</v>
      </c>
      <c r="B27" s="1">
        <v>40.770000000000003</v>
      </c>
      <c r="C27" s="1">
        <v>-73.930000000000007</v>
      </c>
    </row>
    <row r="28" spans="1:3" ht="15" x14ac:dyDescent="0.25">
      <c r="A28" s="2" t="s">
        <v>205</v>
      </c>
      <c r="B28" s="1">
        <v>33.96</v>
      </c>
      <c r="C28" s="1">
        <v>-83.38</v>
      </c>
    </row>
    <row r="29" spans="1:3" ht="15" x14ac:dyDescent="0.25">
      <c r="A29" s="2" t="s">
        <v>206</v>
      </c>
      <c r="B29" s="1">
        <v>33.75</v>
      </c>
      <c r="C29" s="1">
        <v>-84.39</v>
      </c>
    </row>
    <row r="30" spans="1:3" ht="15" x14ac:dyDescent="0.25">
      <c r="A30" s="2" t="s">
        <v>207</v>
      </c>
      <c r="B30" s="1">
        <v>33.369999999999997</v>
      </c>
      <c r="C30" s="1">
        <v>-112.58</v>
      </c>
    </row>
    <row r="31" spans="1:3" ht="15" x14ac:dyDescent="0.25">
      <c r="A31" s="2" t="s">
        <v>208</v>
      </c>
      <c r="B31" s="1">
        <v>39.29</v>
      </c>
      <c r="C31" s="1">
        <v>-76.61</v>
      </c>
    </row>
    <row r="32" spans="1:3" ht="15" x14ac:dyDescent="0.25">
      <c r="A32" s="2" t="s">
        <v>209</v>
      </c>
      <c r="B32" s="1">
        <v>35.200000000000003</v>
      </c>
      <c r="C32" s="1">
        <v>-89.87</v>
      </c>
    </row>
    <row r="33" spans="1:3" ht="15" x14ac:dyDescent="0.25">
      <c r="A33" s="2" t="s">
        <v>210</v>
      </c>
      <c r="B33" s="1">
        <v>30.45</v>
      </c>
      <c r="C33" s="1">
        <v>-91.15</v>
      </c>
    </row>
    <row r="34" spans="1:3" ht="15" x14ac:dyDescent="0.25">
      <c r="A34" s="2" t="s">
        <v>211</v>
      </c>
      <c r="B34" s="1">
        <v>35.369999999999997</v>
      </c>
      <c r="C34" s="1">
        <v>-119.02</v>
      </c>
    </row>
    <row r="35" spans="1:3" ht="15" x14ac:dyDescent="0.25">
      <c r="A35" s="2" t="s">
        <v>212</v>
      </c>
      <c r="B35" s="1">
        <v>40.67</v>
      </c>
      <c r="C35" s="1">
        <v>-74.11</v>
      </c>
    </row>
    <row r="36" spans="1:3" ht="15" x14ac:dyDescent="0.25">
      <c r="A36" s="2" t="s">
        <v>213</v>
      </c>
      <c r="B36" s="1">
        <v>41.14</v>
      </c>
      <c r="C36" s="1">
        <v>-95.89</v>
      </c>
    </row>
    <row r="37" spans="1:3" ht="15" x14ac:dyDescent="0.25">
      <c r="A37" s="2" t="s">
        <v>213</v>
      </c>
      <c r="B37" s="1">
        <v>47.61</v>
      </c>
      <c r="C37" s="1">
        <v>-122.2</v>
      </c>
    </row>
    <row r="38" spans="1:3" ht="15" x14ac:dyDescent="0.25">
      <c r="A38" s="2" t="s">
        <v>214</v>
      </c>
      <c r="B38" s="1">
        <v>48.76</v>
      </c>
      <c r="C38" s="1">
        <v>-122.49</v>
      </c>
    </row>
    <row r="39" spans="1:3" ht="15" x14ac:dyDescent="0.25">
      <c r="A39" s="2" t="s">
        <v>215</v>
      </c>
      <c r="B39" s="1">
        <v>33.880000000000003</v>
      </c>
      <c r="C39" s="1">
        <v>-118.12</v>
      </c>
    </row>
    <row r="40" spans="1:3" ht="15" x14ac:dyDescent="0.25">
      <c r="A40" s="2" t="s">
        <v>216</v>
      </c>
      <c r="B40" s="1">
        <v>44.06</v>
      </c>
      <c r="C40" s="1">
        <v>-121.32</v>
      </c>
    </row>
    <row r="41" spans="1:3" ht="15" x14ac:dyDescent="0.25">
      <c r="A41" s="2" t="s">
        <v>217</v>
      </c>
      <c r="B41" s="1">
        <v>40.6</v>
      </c>
      <c r="C41" s="1">
        <v>-73.989999999999995</v>
      </c>
    </row>
    <row r="42" spans="1:3" ht="15" x14ac:dyDescent="0.25">
      <c r="A42" s="2" t="s">
        <v>218</v>
      </c>
      <c r="B42" s="1">
        <v>34.18</v>
      </c>
      <c r="C42" s="1">
        <v>-118.31</v>
      </c>
    </row>
    <row r="43" spans="1:3" ht="15" x14ac:dyDescent="0.25">
      <c r="A43" s="2" t="s">
        <v>219</v>
      </c>
      <c r="B43" s="1">
        <v>37.869999999999997</v>
      </c>
      <c r="C43" s="1">
        <v>-122.27</v>
      </c>
    </row>
    <row r="44" spans="1:3" ht="15" x14ac:dyDescent="0.25">
      <c r="A44" s="2" t="s">
        <v>220</v>
      </c>
      <c r="B44" s="1">
        <v>36.1</v>
      </c>
      <c r="C44" s="1">
        <v>-79.44</v>
      </c>
    </row>
    <row r="45" spans="1:3" ht="15" x14ac:dyDescent="0.25">
      <c r="A45" s="2" t="s">
        <v>221</v>
      </c>
      <c r="B45" s="1">
        <v>44.77</v>
      </c>
      <c r="C45" s="1">
        <v>-93.28</v>
      </c>
    </row>
    <row r="46" spans="1:3" ht="15" x14ac:dyDescent="0.25">
      <c r="A46" s="2" t="s">
        <v>222</v>
      </c>
      <c r="B46" s="1">
        <v>41.85</v>
      </c>
      <c r="C46" s="1">
        <v>-87.79</v>
      </c>
    </row>
    <row r="47" spans="1:3" ht="15" x14ac:dyDescent="0.25">
      <c r="A47" s="2" t="s">
        <v>223</v>
      </c>
      <c r="B47" s="1">
        <v>38.979999999999997</v>
      </c>
      <c r="C47" s="1">
        <v>-77.099999999999994</v>
      </c>
    </row>
    <row r="48" spans="1:3" ht="15" x14ac:dyDescent="0.25">
      <c r="A48" s="2" t="s">
        <v>224</v>
      </c>
      <c r="B48" s="1">
        <v>45.49</v>
      </c>
      <c r="C48" s="1">
        <v>-122.8</v>
      </c>
    </row>
    <row r="49" spans="1:3" ht="15" x14ac:dyDescent="0.25">
      <c r="A49" s="2" t="s">
        <v>225</v>
      </c>
      <c r="B49" s="1">
        <v>45.78</v>
      </c>
      <c r="C49" s="1">
        <v>-108.5</v>
      </c>
    </row>
    <row r="50" spans="1:3" ht="15" x14ac:dyDescent="0.25">
      <c r="A50" s="2" t="s">
        <v>226</v>
      </c>
      <c r="B50" s="1">
        <v>33.520000000000003</v>
      </c>
      <c r="C50" s="1">
        <v>-86.8</v>
      </c>
    </row>
    <row r="51" spans="1:3" ht="15" x14ac:dyDescent="0.25">
      <c r="A51" s="2" t="s">
        <v>227</v>
      </c>
      <c r="B51" s="1">
        <v>46.81</v>
      </c>
      <c r="C51" s="1">
        <v>-100.78</v>
      </c>
    </row>
    <row r="52" spans="1:3" ht="15" x14ac:dyDescent="0.25">
      <c r="A52" s="2" t="s">
        <v>228</v>
      </c>
      <c r="B52" s="1">
        <v>44.84</v>
      </c>
      <c r="C52" s="1">
        <v>-93.3</v>
      </c>
    </row>
    <row r="53" spans="1:3" ht="15" x14ac:dyDescent="0.25">
      <c r="A53" s="2" t="s">
        <v>228</v>
      </c>
      <c r="B53" s="1">
        <v>40.479999999999997</v>
      </c>
      <c r="C53" s="1">
        <v>-88.99</v>
      </c>
    </row>
    <row r="54" spans="1:3" ht="15" x14ac:dyDescent="0.25">
      <c r="A54" s="2" t="s">
        <v>228</v>
      </c>
      <c r="B54" s="1">
        <v>39.17</v>
      </c>
      <c r="C54" s="1">
        <v>-86.53</v>
      </c>
    </row>
    <row r="55" spans="1:3" ht="15" x14ac:dyDescent="0.25">
      <c r="A55" s="2" t="s">
        <v>229</v>
      </c>
      <c r="B55" s="1">
        <v>43.61</v>
      </c>
      <c r="C55" s="1">
        <v>-116.2</v>
      </c>
    </row>
    <row r="56" spans="1:3" ht="15" x14ac:dyDescent="0.25">
      <c r="A56" s="2" t="s">
        <v>230</v>
      </c>
      <c r="B56" s="1">
        <v>26.36</v>
      </c>
      <c r="C56" s="1">
        <v>-80.08</v>
      </c>
    </row>
    <row r="57" spans="1:3" ht="15" x14ac:dyDescent="0.25">
      <c r="A57" s="2" t="s">
        <v>231</v>
      </c>
      <c r="B57" s="1">
        <v>34.090000000000003</v>
      </c>
      <c r="C57" s="1">
        <v>-117.96</v>
      </c>
    </row>
    <row r="58" spans="1:3" ht="15" x14ac:dyDescent="0.25">
      <c r="A58" s="2" t="s">
        <v>232</v>
      </c>
      <c r="B58" s="4">
        <v>44834</v>
      </c>
      <c r="C58" s="1">
        <v>-94.1</v>
      </c>
    </row>
    <row r="59" spans="1:3" ht="15" x14ac:dyDescent="0.25">
      <c r="A59" s="2" t="s">
        <v>233</v>
      </c>
      <c r="B59" s="1">
        <v>40.630000000000003</v>
      </c>
      <c r="C59" s="1">
        <v>-74</v>
      </c>
    </row>
    <row r="60" spans="1:3" ht="15" x14ac:dyDescent="0.25">
      <c r="A60" s="2" t="s">
        <v>234</v>
      </c>
      <c r="B60" s="1">
        <v>42.36</v>
      </c>
      <c r="C60" s="1">
        <v>-71.06</v>
      </c>
    </row>
    <row r="61" spans="1:3" ht="15" x14ac:dyDescent="0.25">
      <c r="A61" s="2" t="s">
        <v>235</v>
      </c>
      <c r="B61" s="1">
        <v>38.94</v>
      </c>
      <c r="C61" s="1">
        <v>-76.73</v>
      </c>
    </row>
    <row r="62" spans="1:3" ht="15" x14ac:dyDescent="0.25">
      <c r="A62" s="2" t="s">
        <v>236</v>
      </c>
      <c r="B62" s="1">
        <v>40.020000000000003</v>
      </c>
      <c r="C62" s="1">
        <v>-105.27</v>
      </c>
    </row>
    <row r="63" spans="1:3" ht="15" x14ac:dyDescent="0.25">
      <c r="A63" s="2" t="s">
        <v>237</v>
      </c>
      <c r="B63" s="1">
        <v>36.99</v>
      </c>
      <c r="C63" s="1">
        <v>-86.44</v>
      </c>
    </row>
    <row r="64" spans="1:3" ht="15" x14ac:dyDescent="0.25">
      <c r="A64" s="2" t="s">
        <v>238</v>
      </c>
      <c r="B64" s="1">
        <v>30.67</v>
      </c>
      <c r="C64" s="1">
        <v>-96.37</v>
      </c>
    </row>
    <row r="65" spans="1:3" ht="15" x14ac:dyDescent="0.25">
      <c r="A65" s="2" t="s">
        <v>239</v>
      </c>
      <c r="B65" s="3">
        <v>44829</v>
      </c>
      <c r="C65" s="1">
        <v>-97.5</v>
      </c>
    </row>
    <row r="66" spans="1:3" ht="15" x14ac:dyDescent="0.25">
      <c r="A66" s="2" t="s">
        <v>240</v>
      </c>
      <c r="B66" s="3">
        <v>44708</v>
      </c>
      <c r="C66" s="1">
        <v>-82.57</v>
      </c>
    </row>
    <row r="67" spans="1:3" ht="15" x14ac:dyDescent="0.25">
      <c r="A67" s="2" t="s">
        <v>241</v>
      </c>
      <c r="B67" s="1">
        <v>41.18</v>
      </c>
      <c r="C67" s="1">
        <v>-73.19</v>
      </c>
    </row>
    <row r="68" spans="1:3" ht="15" x14ac:dyDescent="0.25">
      <c r="A68" s="2" t="s">
        <v>242</v>
      </c>
      <c r="B68" s="1">
        <v>41.67</v>
      </c>
      <c r="C68" s="1">
        <v>-72.95</v>
      </c>
    </row>
    <row r="69" spans="1:3" ht="15" x14ac:dyDescent="0.25">
      <c r="A69" s="2" t="s">
        <v>243</v>
      </c>
      <c r="B69" s="1">
        <v>36.049999999999997</v>
      </c>
      <c r="C69" s="1">
        <v>-95.79</v>
      </c>
    </row>
    <row r="70" spans="1:3" ht="15" x14ac:dyDescent="0.25">
      <c r="A70" s="2" t="s">
        <v>244</v>
      </c>
      <c r="B70" s="1">
        <v>42.08</v>
      </c>
      <c r="C70" s="1">
        <v>-71.02</v>
      </c>
    </row>
    <row r="71" spans="1:3" ht="15" x14ac:dyDescent="0.25">
      <c r="A71" s="2" t="s">
        <v>245</v>
      </c>
      <c r="B71" s="1">
        <v>40.85</v>
      </c>
      <c r="C71" s="1">
        <v>-73.87</v>
      </c>
    </row>
    <row r="72" spans="1:3" ht="15" x14ac:dyDescent="0.25">
      <c r="A72" s="2" t="s">
        <v>246</v>
      </c>
      <c r="B72" s="1">
        <v>42.33</v>
      </c>
      <c r="C72" s="1">
        <v>-71.12</v>
      </c>
    </row>
    <row r="73" spans="1:3" ht="15" x14ac:dyDescent="0.25">
      <c r="A73" s="2" t="s">
        <v>246</v>
      </c>
      <c r="B73" s="1">
        <v>40.65</v>
      </c>
      <c r="C73" s="1">
        <v>-73.95</v>
      </c>
    </row>
    <row r="74" spans="1:3" ht="15" x14ac:dyDescent="0.25">
      <c r="A74" s="2" t="s">
        <v>247</v>
      </c>
      <c r="B74" s="1">
        <v>45.09</v>
      </c>
      <c r="C74" s="1">
        <v>-93.36</v>
      </c>
    </row>
    <row r="75" spans="1:3" ht="15" x14ac:dyDescent="0.25">
      <c r="A75" s="2" t="s">
        <v>248</v>
      </c>
      <c r="B75" s="1">
        <v>27.94</v>
      </c>
      <c r="C75" s="1">
        <v>-82.29</v>
      </c>
    </row>
    <row r="76" spans="1:3" ht="15" x14ac:dyDescent="0.25">
      <c r="A76" s="2" t="s">
        <v>249</v>
      </c>
      <c r="B76" s="1">
        <v>42.89</v>
      </c>
      <c r="C76" s="1">
        <v>-78.88</v>
      </c>
    </row>
    <row r="77" spans="1:3" ht="15" x14ac:dyDescent="0.25">
      <c r="A77" s="2" t="s">
        <v>250</v>
      </c>
      <c r="B77" s="1">
        <v>40.69</v>
      </c>
      <c r="C77" s="1">
        <v>-73.92</v>
      </c>
    </row>
    <row r="78" spans="1:3" ht="15" x14ac:dyDescent="0.25">
      <c r="A78" s="2" t="s">
        <v>251</v>
      </c>
      <c r="B78" s="1">
        <v>33.869999999999997</v>
      </c>
      <c r="C78" s="1">
        <v>-118</v>
      </c>
    </row>
    <row r="79" spans="1:3" ht="15" x14ac:dyDescent="0.25">
      <c r="A79" s="2" t="s">
        <v>252</v>
      </c>
      <c r="B79" s="1">
        <v>30.83</v>
      </c>
      <c r="C79" s="1">
        <v>-83.28</v>
      </c>
    </row>
    <row r="80" spans="1:3" ht="15" x14ac:dyDescent="0.25">
      <c r="A80" s="2" t="s">
        <v>253</v>
      </c>
      <c r="B80" s="1">
        <v>38.1</v>
      </c>
      <c r="C80" s="1">
        <v>-122.26</v>
      </c>
    </row>
    <row r="81" spans="1:3" ht="15" x14ac:dyDescent="0.25">
      <c r="A81" s="2" t="s">
        <v>254</v>
      </c>
      <c r="B81" s="1">
        <v>45.64</v>
      </c>
      <c r="C81" s="1">
        <v>-122.66</v>
      </c>
    </row>
    <row r="82" spans="1:3" ht="15" x14ac:dyDescent="0.25">
      <c r="A82" s="2" t="s">
        <v>255</v>
      </c>
      <c r="B82" s="1">
        <v>26.66</v>
      </c>
      <c r="C82" s="1">
        <v>-80.239999999999995</v>
      </c>
    </row>
    <row r="83" spans="1:3" ht="15" x14ac:dyDescent="0.25">
      <c r="A83" s="2" t="s">
        <v>256</v>
      </c>
      <c r="B83" s="1">
        <v>34.28</v>
      </c>
      <c r="C83" s="1">
        <v>-119.29</v>
      </c>
    </row>
    <row r="84" spans="1:3" ht="15" x14ac:dyDescent="0.25">
      <c r="A84" s="2" t="s">
        <v>257</v>
      </c>
      <c r="B84" s="1">
        <v>39.840000000000003</v>
      </c>
      <c r="C84" s="1">
        <v>-105.04</v>
      </c>
    </row>
    <row r="85" spans="1:3" ht="15" x14ac:dyDescent="0.25">
      <c r="A85" s="2" t="s">
        <v>258</v>
      </c>
      <c r="B85" s="1">
        <v>34.54</v>
      </c>
      <c r="C85" s="1">
        <v>-117.29</v>
      </c>
    </row>
    <row r="86" spans="1:3" ht="15" x14ac:dyDescent="0.25">
      <c r="A86" s="2" t="s">
        <v>259</v>
      </c>
      <c r="B86" s="1">
        <v>28.81</v>
      </c>
      <c r="C86" s="1">
        <v>-97</v>
      </c>
    </row>
    <row r="87" spans="1:3" ht="15" x14ac:dyDescent="0.25">
      <c r="A87" s="2" t="s">
        <v>260</v>
      </c>
      <c r="B87" s="1">
        <v>36.85</v>
      </c>
      <c r="C87" s="1">
        <v>-75.98</v>
      </c>
    </row>
    <row r="88" spans="1:3" ht="15" x14ac:dyDescent="0.25">
      <c r="A88" s="2" t="s">
        <v>261</v>
      </c>
      <c r="B88" s="1">
        <v>36.33</v>
      </c>
      <c r="C88" s="1">
        <v>-119.29</v>
      </c>
    </row>
    <row r="89" spans="1:3" ht="15" x14ac:dyDescent="0.25">
      <c r="A89" s="2" t="s">
        <v>262</v>
      </c>
      <c r="B89" s="1">
        <v>40.630000000000003</v>
      </c>
      <c r="C89" s="1">
        <v>-75.37</v>
      </c>
    </row>
    <row r="90" spans="1:3" ht="15" x14ac:dyDescent="0.25">
      <c r="A90" s="2" t="s">
        <v>263</v>
      </c>
      <c r="B90" s="1">
        <v>40.79</v>
      </c>
      <c r="C90" s="1">
        <v>-73.94</v>
      </c>
    </row>
    <row r="91" spans="1:3" ht="15" x14ac:dyDescent="0.25">
      <c r="A91" s="2" t="s">
        <v>264</v>
      </c>
      <c r="B91" s="1">
        <v>44.92</v>
      </c>
      <c r="C91" s="1">
        <v>-92.96</v>
      </c>
    </row>
    <row r="92" spans="1:3" ht="15" x14ac:dyDescent="0.25">
      <c r="A92" s="2" t="s">
        <v>265</v>
      </c>
      <c r="B92" s="1">
        <v>42.26</v>
      </c>
      <c r="C92" s="1">
        <v>-71.8</v>
      </c>
    </row>
    <row r="93" spans="1:3" ht="15" x14ac:dyDescent="0.25">
      <c r="A93" s="2" t="s">
        <v>266</v>
      </c>
      <c r="B93" s="3">
        <v>44649</v>
      </c>
      <c r="C93" s="1">
        <v>-94.8</v>
      </c>
    </row>
    <row r="94" spans="1:3" ht="15" x14ac:dyDescent="0.25">
      <c r="A94" s="2" t="s">
        <v>267</v>
      </c>
      <c r="B94" s="1">
        <v>30.37</v>
      </c>
      <c r="C94" s="1">
        <v>-89.09</v>
      </c>
    </row>
    <row r="95" spans="1:3" ht="15" x14ac:dyDescent="0.25">
      <c r="A95" s="2" t="s">
        <v>268</v>
      </c>
      <c r="B95" s="1">
        <v>39.4</v>
      </c>
      <c r="C95" s="1">
        <v>-84.56</v>
      </c>
    </row>
    <row r="96" spans="1:3" ht="15" x14ac:dyDescent="0.25">
      <c r="A96" s="2" t="s">
        <v>269</v>
      </c>
      <c r="B96" s="1">
        <v>33.770000000000003</v>
      </c>
      <c r="C96" s="1">
        <v>-117.94</v>
      </c>
    </row>
    <row r="97" spans="1:3" ht="15" x14ac:dyDescent="0.25">
      <c r="A97" s="2" t="s">
        <v>270</v>
      </c>
      <c r="B97" s="1">
        <v>33.89</v>
      </c>
      <c r="C97" s="1">
        <v>-118.31</v>
      </c>
    </row>
    <row r="98" spans="1:3" ht="15" x14ac:dyDescent="0.25">
      <c r="A98" s="2" t="s">
        <v>271</v>
      </c>
      <c r="B98" s="1">
        <v>40.81</v>
      </c>
      <c r="C98" s="1">
        <v>-73.95</v>
      </c>
    </row>
    <row r="99" spans="1:3" ht="15" x14ac:dyDescent="0.25">
      <c r="A99" s="2" t="s">
        <v>272</v>
      </c>
      <c r="B99" s="1">
        <v>40.270000000000003</v>
      </c>
      <c r="C99" s="1">
        <v>-76.88</v>
      </c>
    </row>
    <row r="100" spans="1:3" ht="15" x14ac:dyDescent="0.25">
      <c r="A100" s="2" t="s">
        <v>273</v>
      </c>
      <c r="B100" s="1">
        <v>35.26</v>
      </c>
      <c r="C100" s="1">
        <v>-81.19</v>
      </c>
    </row>
    <row r="101" spans="1:3" ht="15" x14ac:dyDescent="0.25">
      <c r="A101" s="2" t="s">
        <v>274</v>
      </c>
      <c r="B101" s="1">
        <v>29.65</v>
      </c>
      <c r="C101" s="1">
        <v>-82.32</v>
      </c>
    </row>
    <row r="102" spans="1:3" ht="15" x14ac:dyDescent="0.25">
      <c r="A102" s="2" t="s">
        <v>275</v>
      </c>
      <c r="B102" s="1">
        <v>39.14</v>
      </c>
      <c r="C102" s="1">
        <v>-77.2</v>
      </c>
    </row>
    <row r="103" spans="1:3" ht="15" x14ac:dyDescent="0.25">
      <c r="A103" s="2" t="s">
        <v>33</v>
      </c>
      <c r="B103" s="1">
        <v>33.35</v>
      </c>
      <c r="C103" s="1">
        <v>-111.79</v>
      </c>
    </row>
    <row r="104" spans="1:3" ht="15" x14ac:dyDescent="0.25">
      <c r="A104" s="2" t="s">
        <v>276</v>
      </c>
      <c r="B104" s="1">
        <v>32.909999999999997</v>
      </c>
      <c r="C104" s="1">
        <v>-96.64</v>
      </c>
    </row>
    <row r="105" spans="1:3" ht="15" x14ac:dyDescent="0.25">
      <c r="A105" s="2" t="s">
        <v>277</v>
      </c>
      <c r="B105" s="1">
        <v>34.14</v>
      </c>
      <c r="C105" s="1">
        <v>-118.26</v>
      </c>
    </row>
    <row r="106" spans="1:3" ht="15" x14ac:dyDescent="0.25">
      <c r="A106" s="2" t="s">
        <v>277</v>
      </c>
      <c r="B106" s="1">
        <v>33.54</v>
      </c>
      <c r="C106" s="1">
        <v>-112.19</v>
      </c>
    </row>
    <row r="107" spans="1:3" ht="15" x14ac:dyDescent="0.25">
      <c r="A107" s="2" t="s">
        <v>278</v>
      </c>
      <c r="B107" s="1">
        <v>34.14</v>
      </c>
      <c r="C107" s="1">
        <v>-117.87</v>
      </c>
    </row>
    <row r="108" spans="1:3" ht="15" x14ac:dyDescent="0.25">
      <c r="A108" s="2" t="s">
        <v>279</v>
      </c>
      <c r="B108" s="1">
        <v>21.31</v>
      </c>
      <c r="C108" s="1">
        <v>-157.86000000000001</v>
      </c>
    </row>
    <row r="109" spans="1:3" ht="15" x14ac:dyDescent="0.25">
      <c r="A109" s="2" t="s">
        <v>280</v>
      </c>
      <c r="B109" s="1">
        <v>40.93</v>
      </c>
      <c r="C109" s="1">
        <v>-98.34</v>
      </c>
    </row>
    <row r="110" spans="1:3" ht="15" x14ac:dyDescent="0.25">
      <c r="A110" s="2" t="s">
        <v>281</v>
      </c>
      <c r="B110" s="1">
        <v>39.06</v>
      </c>
      <c r="C110" s="1">
        <v>-108.55</v>
      </c>
    </row>
    <row r="111" spans="1:3" ht="15" x14ac:dyDescent="0.25">
      <c r="A111" s="2" t="s">
        <v>282</v>
      </c>
      <c r="B111" s="1">
        <v>32.75</v>
      </c>
      <c r="C111" s="1">
        <v>-97</v>
      </c>
    </row>
    <row r="112" spans="1:3" ht="15" x14ac:dyDescent="0.25">
      <c r="A112" s="2" t="s">
        <v>283</v>
      </c>
      <c r="B112" s="1">
        <v>42.96</v>
      </c>
      <c r="C112" s="1">
        <v>-85.67</v>
      </c>
    </row>
    <row r="113" spans="1:3" ht="15" x14ac:dyDescent="0.25">
      <c r="A113" s="2" t="s">
        <v>284</v>
      </c>
      <c r="B113" s="1">
        <v>47.93</v>
      </c>
      <c r="C113" s="1">
        <v>-97.03</v>
      </c>
    </row>
    <row r="114" spans="1:3" ht="15" x14ac:dyDescent="0.25">
      <c r="A114" s="2" t="s">
        <v>285</v>
      </c>
      <c r="B114" s="1">
        <v>47.5</v>
      </c>
      <c r="C114" s="1">
        <v>-111.3</v>
      </c>
    </row>
    <row r="115" spans="1:3" ht="15" x14ac:dyDescent="0.25">
      <c r="A115" s="2" t="s">
        <v>286</v>
      </c>
      <c r="B115" s="1">
        <v>45.5</v>
      </c>
      <c r="C115" s="1">
        <v>-122.43</v>
      </c>
    </row>
    <row r="116" spans="1:3" ht="15" x14ac:dyDescent="0.25">
      <c r="A116" s="2" t="s">
        <v>287</v>
      </c>
      <c r="B116" s="1">
        <v>40.42</v>
      </c>
      <c r="C116" s="1">
        <v>-104.71</v>
      </c>
    </row>
    <row r="117" spans="1:3" ht="15" x14ac:dyDescent="0.25">
      <c r="A117" s="2" t="s">
        <v>288</v>
      </c>
      <c r="B117" s="1">
        <v>44.52</v>
      </c>
      <c r="C117" s="1">
        <v>-88.02</v>
      </c>
    </row>
    <row r="118" spans="1:3" ht="15" x14ac:dyDescent="0.25">
      <c r="A118" s="2" t="s">
        <v>289</v>
      </c>
      <c r="B118" s="1">
        <v>41.03</v>
      </c>
      <c r="C118" s="1">
        <v>-73.84</v>
      </c>
    </row>
    <row r="119" spans="1:3" ht="15" x14ac:dyDescent="0.25">
      <c r="A119" s="2" t="s">
        <v>290</v>
      </c>
      <c r="B119" s="1">
        <v>34.85</v>
      </c>
      <c r="C119" s="1">
        <v>-82.39</v>
      </c>
    </row>
    <row r="120" spans="1:3" ht="15" x14ac:dyDescent="0.25">
      <c r="A120" s="2" t="s">
        <v>290</v>
      </c>
      <c r="B120" s="1">
        <v>35.61</v>
      </c>
      <c r="C120" s="1">
        <v>-77.37</v>
      </c>
    </row>
    <row r="121" spans="1:3" ht="15" x14ac:dyDescent="0.25">
      <c r="A121" s="2" t="s">
        <v>291</v>
      </c>
      <c r="B121" s="1">
        <v>36.07</v>
      </c>
      <c r="C121" s="1">
        <v>-79.790000000000006</v>
      </c>
    </row>
    <row r="122" spans="1:3" ht="15" x14ac:dyDescent="0.25">
      <c r="A122" s="2" t="s">
        <v>292</v>
      </c>
      <c r="B122" s="1">
        <v>33.409999999999997</v>
      </c>
      <c r="C122" s="1">
        <v>-86.81</v>
      </c>
    </row>
    <row r="123" spans="1:3" ht="15" x14ac:dyDescent="0.25">
      <c r="A123" s="2" t="s">
        <v>293</v>
      </c>
      <c r="B123" s="1">
        <v>33.44</v>
      </c>
      <c r="C123" s="1">
        <v>-112.36</v>
      </c>
    </row>
    <row r="124" spans="1:3" ht="15" x14ac:dyDescent="0.25">
      <c r="A124" s="2" t="s">
        <v>294</v>
      </c>
      <c r="B124" s="1">
        <v>41.59</v>
      </c>
      <c r="C124" s="1">
        <v>-87.35</v>
      </c>
    </row>
    <row r="125" spans="1:3" ht="15" x14ac:dyDescent="0.25">
      <c r="A125" s="2" t="s">
        <v>295</v>
      </c>
      <c r="B125" s="1">
        <v>42.5</v>
      </c>
      <c r="C125" s="1">
        <v>-90.66</v>
      </c>
    </row>
    <row r="126" spans="1:3" ht="15" x14ac:dyDescent="0.25">
      <c r="A126" s="2" t="s">
        <v>296</v>
      </c>
      <c r="B126" s="1">
        <v>34.03</v>
      </c>
      <c r="C126" s="1">
        <v>-117.81</v>
      </c>
    </row>
    <row r="127" spans="1:3" ht="15" x14ac:dyDescent="0.25">
      <c r="A127" s="2" t="s">
        <v>297</v>
      </c>
      <c r="B127" s="1">
        <v>32.78</v>
      </c>
      <c r="C127" s="1">
        <v>-96.81</v>
      </c>
    </row>
    <row r="128" spans="1:3" ht="15" x14ac:dyDescent="0.25">
      <c r="A128" s="2" t="s">
        <v>298</v>
      </c>
      <c r="B128" s="1">
        <v>41.39</v>
      </c>
      <c r="C128" s="1">
        <v>-73.45</v>
      </c>
    </row>
    <row r="129" spans="1:3" ht="15" x14ac:dyDescent="0.25">
      <c r="A129" s="2" t="s">
        <v>299</v>
      </c>
      <c r="B129" s="1">
        <v>39.25</v>
      </c>
      <c r="C129" s="1">
        <v>-76.52</v>
      </c>
    </row>
    <row r="130" spans="1:3" ht="15" x14ac:dyDescent="0.25">
      <c r="A130" s="2" t="s">
        <v>118</v>
      </c>
      <c r="B130" s="1">
        <v>35.99</v>
      </c>
      <c r="C130" s="1">
        <v>-78.900000000000006</v>
      </c>
    </row>
    <row r="131" spans="1:3" ht="15" x14ac:dyDescent="0.25">
      <c r="A131" s="2" t="s">
        <v>300</v>
      </c>
      <c r="B131" s="1">
        <v>33.94</v>
      </c>
      <c r="C131" s="1">
        <v>-118.13</v>
      </c>
    </row>
    <row r="132" spans="1:3" ht="15" x14ac:dyDescent="0.25">
      <c r="A132" s="2" t="s">
        <v>301</v>
      </c>
      <c r="B132" s="1">
        <v>41.6</v>
      </c>
      <c r="C132" s="1">
        <v>-93.61</v>
      </c>
    </row>
    <row r="133" spans="1:3" ht="15" x14ac:dyDescent="0.25">
      <c r="A133" s="2" t="s">
        <v>302</v>
      </c>
      <c r="B133" s="1">
        <v>38.54</v>
      </c>
      <c r="C133" s="1">
        <v>-121.74</v>
      </c>
    </row>
    <row r="134" spans="1:3" ht="15" x14ac:dyDescent="0.25">
      <c r="A134" s="2" t="s">
        <v>303</v>
      </c>
      <c r="B134" s="1">
        <v>37.71</v>
      </c>
      <c r="C134" s="1">
        <v>-122.46</v>
      </c>
    </row>
    <row r="135" spans="1:3" ht="15" x14ac:dyDescent="0.25">
      <c r="A135" s="2" t="s">
        <v>304</v>
      </c>
      <c r="B135" s="1">
        <v>39.76</v>
      </c>
      <c r="C135" s="1">
        <v>-84.19</v>
      </c>
    </row>
    <row r="136" spans="1:3" ht="15" x14ac:dyDescent="0.25">
      <c r="A136" s="2" t="s">
        <v>305</v>
      </c>
      <c r="B136" s="1">
        <v>29.21</v>
      </c>
      <c r="C136" s="1">
        <v>-81.02</v>
      </c>
    </row>
    <row r="137" spans="1:3" ht="15" x14ac:dyDescent="0.25">
      <c r="A137" s="2" t="s">
        <v>90</v>
      </c>
      <c r="B137" s="1">
        <v>34.61</v>
      </c>
      <c r="C137" s="1">
        <v>-86.98</v>
      </c>
    </row>
    <row r="138" spans="1:3" ht="15" x14ac:dyDescent="0.25">
      <c r="A138" s="2" t="s">
        <v>90</v>
      </c>
      <c r="B138" s="1">
        <v>39.840000000000003</v>
      </c>
      <c r="C138" s="1">
        <v>-88.95</v>
      </c>
    </row>
    <row r="139" spans="1:3" ht="15" x14ac:dyDescent="0.25">
      <c r="A139" s="2" t="s">
        <v>306</v>
      </c>
      <c r="B139" s="1">
        <v>35.770000000000003</v>
      </c>
      <c r="C139" s="1">
        <v>-119.25</v>
      </c>
    </row>
    <row r="140" spans="1:3" ht="15" x14ac:dyDescent="0.25">
      <c r="A140" s="2" t="s">
        <v>307</v>
      </c>
      <c r="B140" s="1">
        <v>26.46</v>
      </c>
      <c r="C140" s="1">
        <v>-80.069999999999993</v>
      </c>
    </row>
    <row r="141" spans="1:3" ht="15" x14ac:dyDescent="0.25">
      <c r="A141" s="2" t="s">
        <v>308</v>
      </c>
      <c r="B141" s="3">
        <v>44832</v>
      </c>
      <c r="C141" s="1">
        <v>-81.260000000000005</v>
      </c>
    </row>
    <row r="142" spans="1:3" ht="15" x14ac:dyDescent="0.25">
      <c r="A142" s="2" t="s">
        <v>309</v>
      </c>
      <c r="B142" s="1">
        <v>39.74</v>
      </c>
      <c r="C142" s="1">
        <v>-104.99</v>
      </c>
    </row>
    <row r="143" spans="1:3" ht="15" x14ac:dyDescent="0.25">
      <c r="A143" s="2" t="s">
        <v>310</v>
      </c>
      <c r="B143" s="1">
        <v>33.21</v>
      </c>
      <c r="C143" s="1">
        <v>-97.13</v>
      </c>
    </row>
    <row r="144" spans="1:3" ht="15" x14ac:dyDescent="0.25">
      <c r="A144" s="2" t="s">
        <v>311</v>
      </c>
      <c r="B144" s="1">
        <v>42.03</v>
      </c>
      <c r="C144" s="1">
        <v>-87.88</v>
      </c>
    </row>
    <row r="145" spans="1:3" ht="15" x14ac:dyDescent="0.25">
      <c r="A145" s="2" t="s">
        <v>312</v>
      </c>
      <c r="B145" s="1">
        <v>42.33</v>
      </c>
      <c r="C145" s="1">
        <v>-83.05</v>
      </c>
    </row>
    <row r="146" spans="1:3" ht="15" x14ac:dyDescent="0.25">
      <c r="A146" s="2" t="s">
        <v>313</v>
      </c>
      <c r="B146" s="1">
        <v>42.68</v>
      </c>
      <c r="C146" s="1">
        <v>-89.02</v>
      </c>
    </row>
    <row r="147" spans="1:3" ht="15" x14ac:dyDescent="0.25">
      <c r="A147" s="2" t="s">
        <v>70</v>
      </c>
      <c r="B147" s="1">
        <v>32.299999999999997</v>
      </c>
      <c r="C147" s="1">
        <v>-90.18</v>
      </c>
    </row>
    <row r="148" spans="1:3" ht="15" x14ac:dyDescent="0.25">
      <c r="A148" s="2" t="s">
        <v>70</v>
      </c>
      <c r="B148" s="1">
        <v>35.61</v>
      </c>
      <c r="C148" s="1">
        <v>-88.81</v>
      </c>
    </row>
    <row r="149" spans="1:3" ht="15" x14ac:dyDescent="0.25">
      <c r="A149" s="2" t="s">
        <v>314</v>
      </c>
      <c r="B149" s="1">
        <v>40.729999999999997</v>
      </c>
      <c r="C149" s="1">
        <v>-74.08</v>
      </c>
    </row>
    <row r="150" spans="1:3" ht="15" x14ac:dyDescent="0.25">
      <c r="A150" s="2" t="s">
        <v>315</v>
      </c>
      <c r="B150" s="1">
        <v>38.58</v>
      </c>
      <c r="C150" s="1">
        <v>-92.17</v>
      </c>
    </row>
    <row r="151" spans="1:3" ht="15" x14ac:dyDescent="0.25">
      <c r="A151" s="2" t="s">
        <v>316</v>
      </c>
      <c r="B151" s="1">
        <v>35.840000000000003</v>
      </c>
      <c r="C151" s="1">
        <v>-90.7</v>
      </c>
    </row>
    <row r="152" spans="1:3" ht="15" x14ac:dyDescent="0.25">
      <c r="A152" s="2" t="s">
        <v>317</v>
      </c>
      <c r="B152" s="1">
        <v>37.08</v>
      </c>
      <c r="C152" s="1">
        <v>-94.51</v>
      </c>
    </row>
    <row r="153" spans="1:3" ht="15" x14ac:dyDescent="0.25">
      <c r="A153" s="2" t="s">
        <v>318</v>
      </c>
      <c r="B153" s="1">
        <v>30.63</v>
      </c>
      <c r="C153" s="1">
        <v>-97.68</v>
      </c>
    </row>
    <row r="154" spans="1:3" ht="15" x14ac:dyDescent="0.25">
      <c r="A154" s="2" t="s">
        <v>319</v>
      </c>
      <c r="B154" s="1">
        <v>58.3</v>
      </c>
      <c r="C154" s="1">
        <v>-134.41999999999999</v>
      </c>
    </row>
    <row r="155" spans="1:3" ht="15" x14ac:dyDescent="0.25">
      <c r="A155" s="2" t="s">
        <v>320</v>
      </c>
      <c r="B155" s="1">
        <v>34.75</v>
      </c>
      <c r="C155" s="1">
        <v>-77.430000000000007</v>
      </c>
    </row>
    <row r="156" spans="1:3" ht="15" x14ac:dyDescent="0.25">
      <c r="A156" s="2" t="s">
        <v>320</v>
      </c>
      <c r="B156" s="1">
        <v>30.33</v>
      </c>
      <c r="C156" s="1">
        <v>-81.66</v>
      </c>
    </row>
    <row r="157" spans="1:3" ht="15" x14ac:dyDescent="0.25">
      <c r="A157" s="2" t="s">
        <v>321</v>
      </c>
      <c r="B157" s="1">
        <v>42.32</v>
      </c>
      <c r="C157" s="1">
        <v>-83.18</v>
      </c>
    </row>
    <row r="158" spans="1:3" ht="15" x14ac:dyDescent="0.25">
      <c r="A158" s="2" t="s">
        <v>322</v>
      </c>
      <c r="B158" s="1">
        <v>26.32</v>
      </c>
      <c r="C158" s="1">
        <v>-80.099999999999994</v>
      </c>
    </row>
    <row r="159" spans="1:3" ht="15" x14ac:dyDescent="0.25">
      <c r="A159" s="2" t="s">
        <v>132</v>
      </c>
      <c r="B159" s="1">
        <v>39.159999999999997</v>
      </c>
      <c r="C159" s="1">
        <v>-75.52</v>
      </c>
    </row>
    <row r="160" spans="1:3" ht="15" x14ac:dyDescent="0.25">
      <c r="A160" s="2" t="s">
        <v>323</v>
      </c>
      <c r="B160" s="1">
        <v>31.22</v>
      </c>
      <c r="C160" s="1">
        <v>-85.39</v>
      </c>
    </row>
    <row r="161" spans="1:3" ht="15" x14ac:dyDescent="0.25">
      <c r="A161" s="2" t="s">
        <v>324</v>
      </c>
      <c r="B161" s="1">
        <v>37.700000000000003</v>
      </c>
      <c r="C161" s="1">
        <v>-121.94</v>
      </c>
    </row>
    <row r="162" spans="1:3" ht="15" x14ac:dyDescent="0.25">
      <c r="A162" s="2" t="s">
        <v>325</v>
      </c>
      <c r="B162" s="1">
        <v>46.78</v>
      </c>
      <c r="C162" s="1">
        <v>-92.11</v>
      </c>
    </row>
    <row r="163" spans="1:3" ht="15" x14ac:dyDescent="0.25">
      <c r="A163" s="2" t="s">
        <v>326</v>
      </c>
      <c r="B163" s="1">
        <v>41.52</v>
      </c>
      <c r="C163" s="1">
        <v>-90.58</v>
      </c>
    </row>
    <row r="164" spans="1:3" ht="15" x14ac:dyDescent="0.25">
      <c r="A164" s="2" t="s">
        <v>327</v>
      </c>
      <c r="B164" s="4">
        <v>44738</v>
      </c>
      <c r="C164" s="1">
        <v>-80.23</v>
      </c>
    </row>
    <row r="165" spans="1:3" ht="15" x14ac:dyDescent="0.25">
      <c r="A165" s="2" t="s">
        <v>328</v>
      </c>
      <c r="B165" s="1">
        <v>41.76</v>
      </c>
      <c r="C165" s="1">
        <v>-72.739999999999995</v>
      </c>
    </row>
    <row r="166" spans="1:3" ht="15" x14ac:dyDescent="0.25">
      <c r="A166" s="2" t="s">
        <v>329</v>
      </c>
      <c r="B166" s="1">
        <v>30.16</v>
      </c>
      <c r="C166" s="1">
        <v>-95.49</v>
      </c>
    </row>
    <row r="167" spans="1:3" ht="15" x14ac:dyDescent="0.25">
      <c r="A167" s="2" t="s">
        <v>79</v>
      </c>
      <c r="B167" s="1">
        <v>44.8</v>
      </c>
      <c r="C167" s="1">
        <v>-93.17</v>
      </c>
    </row>
    <row r="168" spans="1:3" ht="15" x14ac:dyDescent="0.25">
      <c r="A168" s="2" t="s">
        <v>330</v>
      </c>
      <c r="B168" s="1">
        <v>44.89</v>
      </c>
      <c r="C168" s="1">
        <v>-93.35</v>
      </c>
    </row>
    <row r="169" spans="1:3" ht="15" x14ac:dyDescent="0.25">
      <c r="A169" s="2" t="s">
        <v>331</v>
      </c>
      <c r="B169" s="1">
        <v>44.85</v>
      </c>
      <c r="C169" s="1">
        <v>-93.47</v>
      </c>
    </row>
    <row r="170" spans="1:3" ht="15" x14ac:dyDescent="0.25">
      <c r="A170" s="2" t="s">
        <v>332</v>
      </c>
      <c r="B170" s="1">
        <v>33.96</v>
      </c>
      <c r="C170" s="1">
        <v>-118.35</v>
      </c>
    </row>
    <row r="171" spans="1:3" ht="15" x14ac:dyDescent="0.25">
      <c r="A171" s="2" t="s">
        <v>333</v>
      </c>
      <c r="B171" s="1">
        <v>39.090000000000003</v>
      </c>
      <c r="C171" s="1">
        <v>-94.42</v>
      </c>
    </row>
    <row r="172" spans="1:3" ht="15" x14ac:dyDescent="0.25">
      <c r="A172" s="2" t="s">
        <v>334</v>
      </c>
      <c r="B172" s="1">
        <v>39.770000000000003</v>
      </c>
      <c r="C172" s="1">
        <v>-86.16</v>
      </c>
    </row>
    <row r="173" spans="1:3" ht="15" x14ac:dyDescent="0.25">
      <c r="A173" s="2" t="s">
        <v>335</v>
      </c>
      <c r="B173" s="1">
        <v>33.72</v>
      </c>
      <c r="C173" s="1">
        <v>-116.22</v>
      </c>
    </row>
    <row r="174" spans="1:3" ht="15" x14ac:dyDescent="0.25">
      <c r="A174" s="2" t="s">
        <v>336</v>
      </c>
      <c r="B174" s="1">
        <v>33.67</v>
      </c>
      <c r="C174" s="1">
        <v>-117.82</v>
      </c>
    </row>
    <row r="175" spans="1:3" ht="15" x14ac:dyDescent="0.25">
      <c r="A175" s="2" t="s">
        <v>337</v>
      </c>
      <c r="B175" s="1">
        <v>32.81</v>
      </c>
      <c r="C175" s="1">
        <v>-96.95</v>
      </c>
    </row>
    <row r="176" spans="1:3" ht="15" x14ac:dyDescent="0.25">
      <c r="A176" s="2" t="s">
        <v>338</v>
      </c>
      <c r="B176" s="1">
        <v>40.93</v>
      </c>
      <c r="C176" s="1">
        <v>-73.900000000000006</v>
      </c>
    </row>
    <row r="177" spans="1:3" ht="15" x14ac:dyDescent="0.25">
      <c r="A177" s="2" t="s">
        <v>339</v>
      </c>
      <c r="B177" s="1">
        <v>33.89</v>
      </c>
      <c r="C177" s="1">
        <v>-117.81</v>
      </c>
    </row>
    <row r="178" spans="1:3" ht="15" x14ac:dyDescent="0.25">
      <c r="A178" s="2" t="s">
        <v>340</v>
      </c>
      <c r="B178" s="1">
        <v>42.29</v>
      </c>
      <c r="C178" s="1">
        <v>-85.59</v>
      </c>
    </row>
    <row r="179" spans="1:3" ht="15" x14ac:dyDescent="0.25">
      <c r="A179" s="2" t="s">
        <v>341</v>
      </c>
      <c r="B179" s="1">
        <v>39.93</v>
      </c>
      <c r="C179" s="1">
        <v>-75.12</v>
      </c>
    </row>
    <row r="180" spans="1:3" ht="15" x14ac:dyDescent="0.25">
      <c r="A180" s="2" t="s">
        <v>342</v>
      </c>
      <c r="B180" s="1">
        <v>39.1</v>
      </c>
      <c r="C180" s="1">
        <v>-94.58</v>
      </c>
    </row>
    <row r="181" spans="1:3" ht="15" x14ac:dyDescent="0.25">
      <c r="A181" s="2" t="s">
        <v>342</v>
      </c>
      <c r="B181" s="1">
        <v>39.11</v>
      </c>
      <c r="C181" s="1">
        <v>-94.63</v>
      </c>
    </row>
    <row r="182" spans="1:3" ht="15" x14ac:dyDescent="0.25">
      <c r="A182" s="2" t="s">
        <v>343</v>
      </c>
      <c r="B182" s="1">
        <v>40.799999999999997</v>
      </c>
      <c r="C182" s="1">
        <v>-81.38</v>
      </c>
    </row>
    <row r="183" spans="1:3" ht="15" x14ac:dyDescent="0.25">
      <c r="A183" s="2" t="s">
        <v>344</v>
      </c>
      <c r="B183" s="1">
        <v>33.159999999999997</v>
      </c>
      <c r="C183" s="1">
        <v>-117.35</v>
      </c>
    </row>
    <row r="184" spans="1:3" ht="15" x14ac:dyDescent="0.25">
      <c r="A184" s="2" t="s">
        <v>345</v>
      </c>
      <c r="B184" s="1">
        <v>38.619999999999997</v>
      </c>
      <c r="C184" s="1">
        <v>-121.33</v>
      </c>
    </row>
    <row r="185" spans="1:3" ht="15" x14ac:dyDescent="0.25">
      <c r="A185" s="2" t="s">
        <v>346</v>
      </c>
      <c r="B185" s="1">
        <v>39.979999999999997</v>
      </c>
      <c r="C185" s="1">
        <v>-86.12</v>
      </c>
    </row>
    <row r="186" spans="1:3" ht="15" x14ac:dyDescent="0.25">
      <c r="A186" s="2" t="s">
        <v>347</v>
      </c>
      <c r="B186" s="1">
        <v>32.950000000000003</v>
      </c>
      <c r="C186" s="1">
        <v>-96.89</v>
      </c>
    </row>
    <row r="187" spans="1:3" ht="15" x14ac:dyDescent="0.25">
      <c r="A187" s="2" t="s">
        <v>348</v>
      </c>
      <c r="B187" s="1">
        <v>33.83</v>
      </c>
      <c r="C187" s="1">
        <v>-118.28</v>
      </c>
    </row>
    <row r="188" spans="1:3" ht="15" x14ac:dyDescent="0.25">
      <c r="A188" s="2" t="s">
        <v>349</v>
      </c>
      <c r="B188" s="1">
        <v>39.159999999999997</v>
      </c>
      <c r="C188" s="1">
        <v>-119.77</v>
      </c>
    </row>
    <row r="189" spans="1:3" ht="15" x14ac:dyDescent="0.25">
      <c r="A189" s="2" t="s">
        <v>350</v>
      </c>
      <c r="B189" s="1">
        <v>32.880000000000003</v>
      </c>
      <c r="C189" s="1">
        <v>-111.76</v>
      </c>
    </row>
    <row r="190" spans="1:3" ht="15" x14ac:dyDescent="0.25">
      <c r="A190" s="2" t="s">
        <v>351</v>
      </c>
      <c r="B190" s="1">
        <v>42.87</v>
      </c>
      <c r="C190" s="1">
        <v>-106.31</v>
      </c>
    </row>
    <row r="191" spans="1:3" ht="15" x14ac:dyDescent="0.25">
      <c r="A191" s="2" t="s">
        <v>352</v>
      </c>
      <c r="B191" s="1">
        <v>33.78</v>
      </c>
      <c r="C191" s="1">
        <v>-116.47</v>
      </c>
    </row>
    <row r="192" spans="1:3" ht="15" x14ac:dyDescent="0.25">
      <c r="A192" s="2" t="s">
        <v>353</v>
      </c>
      <c r="B192" s="1">
        <v>41.26</v>
      </c>
      <c r="C192" s="1">
        <v>-95.86</v>
      </c>
    </row>
    <row r="193" spans="1:3" ht="15" x14ac:dyDescent="0.25">
      <c r="A193" s="2" t="s">
        <v>354</v>
      </c>
      <c r="B193" s="1">
        <v>26.56</v>
      </c>
      <c r="C193" s="1">
        <v>-81.95</v>
      </c>
    </row>
    <row r="194" spans="1:3" ht="15" x14ac:dyDescent="0.25">
      <c r="A194" s="2" t="s">
        <v>355</v>
      </c>
      <c r="B194" s="1">
        <v>42.38</v>
      </c>
      <c r="C194" s="1">
        <v>-71.11</v>
      </c>
    </row>
    <row r="195" spans="1:3" ht="15" x14ac:dyDescent="0.25">
      <c r="A195" s="2" t="s">
        <v>356</v>
      </c>
      <c r="B195" s="1">
        <v>25.68</v>
      </c>
      <c r="C195" s="1">
        <v>-80.319999999999993</v>
      </c>
    </row>
    <row r="196" spans="1:3" ht="15" x14ac:dyDescent="0.25">
      <c r="A196" s="2" t="s">
        <v>357</v>
      </c>
      <c r="B196" s="1">
        <v>46.21</v>
      </c>
      <c r="C196" s="1">
        <v>-119.14</v>
      </c>
    </row>
    <row r="197" spans="1:3" ht="15" x14ac:dyDescent="0.25">
      <c r="A197" s="2" t="s">
        <v>358</v>
      </c>
      <c r="B197" s="1">
        <v>29.99</v>
      </c>
      <c r="C197" s="1">
        <v>-90.24</v>
      </c>
    </row>
    <row r="198" spans="1:3" ht="15" x14ac:dyDescent="0.25">
      <c r="A198" s="2" t="s">
        <v>359</v>
      </c>
      <c r="B198" s="1">
        <v>42.58</v>
      </c>
      <c r="C198" s="1">
        <v>-87.82</v>
      </c>
    </row>
    <row r="199" spans="1:3" ht="15" x14ac:dyDescent="0.25">
      <c r="A199" s="2" t="s">
        <v>360</v>
      </c>
      <c r="B199" s="1">
        <v>47.38</v>
      </c>
      <c r="C199" s="1">
        <v>-122.24</v>
      </c>
    </row>
    <row r="200" spans="1:3" ht="15" x14ac:dyDescent="0.25">
      <c r="A200" s="2" t="s">
        <v>361</v>
      </c>
      <c r="B200" s="1">
        <v>39.69</v>
      </c>
      <c r="C200" s="1">
        <v>-84.17</v>
      </c>
    </row>
    <row r="201" spans="1:3" ht="15" x14ac:dyDescent="0.25">
      <c r="A201" s="2" t="s">
        <v>362</v>
      </c>
      <c r="B201" s="5">
        <v>31.12</v>
      </c>
      <c r="C201" s="1">
        <v>-97.73</v>
      </c>
    </row>
    <row r="202" spans="1:3" ht="15" x14ac:dyDescent="0.25">
      <c r="A202" s="2" t="s">
        <v>363</v>
      </c>
      <c r="B202" s="1">
        <v>36.549999999999997</v>
      </c>
      <c r="C202" s="1">
        <v>-82.56</v>
      </c>
    </row>
    <row r="203" spans="1:3" ht="15" x14ac:dyDescent="0.25">
      <c r="A203" s="2" t="s">
        <v>364</v>
      </c>
      <c r="B203" s="5">
        <v>28.3</v>
      </c>
      <c r="C203" s="1">
        <v>-81.42</v>
      </c>
    </row>
    <row r="204" spans="1:3" ht="15" x14ac:dyDescent="0.25">
      <c r="A204" s="2" t="s">
        <v>365</v>
      </c>
      <c r="B204" s="1">
        <v>36.53</v>
      </c>
      <c r="C204" s="1">
        <v>-87.36</v>
      </c>
    </row>
    <row r="205" spans="1:3" ht="15" x14ac:dyDescent="0.25">
      <c r="A205" s="2" t="s">
        <v>366</v>
      </c>
      <c r="B205" s="1">
        <v>41.5</v>
      </c>
      <c r="C205" s="1">
        <v>-81.7</v>
      </c>
    </row>
    <row r="206" spans="1:3" ht="15" x14ac:dyDescent="0.25">
      <c r="A206" s="2" t="s">
        <v>367</v>
      </c>
      <c r="B206" s="1">
        <v>27.97</v>
      </c>
      <c r="C206" s="1">
        <v>-82.8</v>
      </c>
    </row>
    <row r="207" spans="1:3" ht="15" x14ac:dyDescent="0.25">
      <c r="A207" s="2" t="s">
        <v>368</v>
      </c>
      <c r="B207" s="1">
        <v>40.86</v>
      </c>
      <c r="C207" s="1">
        <v>-74.16</v>
      </c>
    </row>
    <row r="208" spans="1:3" ht="15" x14ac:dyDescent="0.25">
      <c r="A208" s="2" t="s">
        <v>369</v>
      </c>
      <c r="B208" s="1">
        <v>36.83</v>
      </c>
      <c r="C208" s="1">
        <v>-119.7</v>
      </c>
    </row>
    <row r="209" spans="1:3" ht="15" x14ac:dyDescent="0.25">
      <c r="A209" s="2" t="s">
        <v>370</v>
      </c>
      <c r="B209" s="1">
        <v>43.66</v>
      </c>
      <c r="C209" s="1">
        <v>-116.69</v>
      </c>
    </row>
    <row r="210" spans="1:3" ht="15" x14ac:dyDescent="0.25">
      <c r="A210" s="2" t="s">
        <v>371</v>
      </c>
      <c r="B210" s="1">
        <v>30.63</v>
      </c>
      <c r="C210" s="1">
        <v>-96.33</v>
      </c>
    </row>
    <row r="211" spans="1:3" ht="15" x14ac:dyDescent="0.25">
      <c r="A211" s="2" t="s">
        <v>372</v>
      </c>
      <c r="B211" s="1">
        <v>38.83</v>
      </c>
      <c r="C211" s="1">
        <v>-104.82</v>
      </c>
    </row>
    <row r="212" spans="1:3" ht="15" x14ac:dyDescent="0.25">
      <c r="A212" s="2" t="s">
        <v>373</v>
      </c>
      <c r="B212" s="1">
        <v>34.07</v>
      </c>
      <c r="C212" s="1">
        <v>-117.31</v>
      </c>
    </row>
    <row r="213" spans="1:3" ht="15" x14ac:dyDescent="0.25">
      <c r="A213" s="2" t="s">
        <v>108</v>
      </c>
      <c r="B213" s="1">
        <v>39.24</v>
      </c>
      <c r="C213" s="1">
        <v>-76.84</v>
      </c>
    </row>
    <row r="214" spans="1:3" ht="15" x14ac:dyDescent="0.25">
      <c r="A214" s="2" t="s">
        <v>108</v>
      </c>
      <c r="B214" s="1">
        <v>34</v>
      </c>
      <c r="C214" s="1">
        <v>-81.03</v>
      </c>
    </row>
    <row r="215" spans="1:3" ht="15" x14ac:dyDescent="0.25">
      <c r="A215" s="2" t="s">
        <v>108</v>
      </c>
      <c r="B215" s="1">
        <v>38.950000000000003</v>
      </c>
      <c r="C215" s="1">
        <v>-92.33</v>
      </c>
    </row>
    <row r="216" spans="1:3" ht="15" x14ac:dyDescent="0.25">
      <c r="A216" s="2" t="s">
        <v>374</v>
      </c>
      <c r="B216" s="1">
        <v>39.96</v>
      </c>
      <c r="C216" s="1">
        <v>-83</v>
      </c>
    </row>
    <row r="217" spans="1:3" ht="15" x14ac:dyDescent="0.25">
      <c r="A217" s="2" t="s">
        <v>374</v>
      </c>
      <c r="B217" s="1">
        <v>32.46</v>
      </c>
      <c r="C217" s="1">
        <v>-84.99</v>
      </c>
    </row>
    <row r="218" spans="1:3" ht="15" x14ac:dyDescent="0.25">
      <c r="A218" s="2" t="s">
        <v>375</v>
      </c>
      <c r="B218" s="1">
        <v>33.9</v>
      </c>
      <c r="C218" s="1">
        <v>-118.22</v>
      </c>
    </row>
    <row r="219" spans="1:3" ht="15" x14ac:dyDescent="0.25">
      <c r="A219" s="2" t="s">
        <v>376</v>
      </c>
      <c r="B219" s="1">
        <v>40.58</v>
      </c>
      <c r="C219" s="1">
        <v>-73.989999999999995</v>
      </c>
    </row>
    <row r="220" spans="1:3" ht="15" x14ac:dyDescent="0.25">
      <c r="A220" s="2" t="s">
        <v>66</v>
      </c>
      <c r="B220" s="1">
        <v>37.979999999999997</v>
      </c>
      <c r="C220" s="1">
        <v>-122.03</v>
      </c>
    </row>
    <row r="221" spans="1:3" ht="15" x14ac:dyDescent="0.25">
      <c r="A221" s="2" t="s">
        <v>66</v>
      </c>
      <c r="B221" s="1">
        <v>43.21</v>
      </c>
      <c r="C221" s="1">
        <v>-71.540000000000006</v>
      </c>
    </row>
    <row r="222" spans="1:3" ht="15" x14ac:dyDescent="0.25">
      <c r="A222" s="2" t="s">
        <v>66</v>
      </c>
      <c r="B222" s="1">
        <v>35.409999999999997</v>
      </c>
      <c r="C222" s="1">
        <v>-80.58</v>
      </c>
    </row>
    <row r="223" spans="1:3" ht="15" x14ac:dyDescent="0.25">
      <c r="A223" s="2" t="s">
        <v>377</v>
      </c>
      <c r="B223" s="1">
        <v>35.090000000000003</v>
      </c>
      <c r="C223" s="1">
        <v>-92.44</v>
      </c>
    </row>
    <row r="224" spans="1:3" ht="15" x14ac:dyDescent="0.25">
      <c r="A224" s="2" t="s">
        <v>378</v>
      </c>
      <c r="B224" s="1">
        <v>26.27</v>
      </c>
      <c r="C224" s="1">
        <v>-80.27</v>
      </c>
    </row>
    <row r="225" spans="1:3" ht="15" x14ac:dyDescent="0.25">
      <c r="A225" s="2" t="s">
        <v>379</v>
      </c>
      <c r="B225" s="1">
        <v>44.56</v>
      </c>
      <c r="C225" s="1">
        <v>-123.26</v>
      </c>
    </row>
    <row r="226" spans="1:3" ht="15" x14ac:dyDescent="0.25">
      <c r="A226" s="2" t="s">
        <v>380</v>
      </c>
      <c r="B226" s="1">
        <v>33.880000000000003</v>
      </c>
      <c r="C226" s="1">
        <v>-117.57</v>
      </c>
    </row>
    <row r="227" spans="1:3" ht="15" x14ac:dyDescent="0.25">
      <c r="A227" s="2" t="s">
        <v>381</v>
      </c>
      <c r="B227" s="3">
        <v>44800</v>
      </c>
      <c r="C227" s="1">
        <v>-97.4</v>
      </c>
    </row>
    <row r="228" spans="1:3" ht="15" x14ac:dyDescent="0.25">
      <c r="A228" s="2" t="s">
        <v>382</v>
      </c>
      <c r="B228" s="1">
        <v>33.64</v>
      </c>
      <c r="C228" s="1">
        <v>-117.92</v>
      </c>
    </row>
    <row r="229" spans="1:3" ht="15" x14ac:dyDescent="0.25">
      <c r="A229" s="2" t="s">
        <v>383</v>
      </c>
      <c r="B229" s="1">
        <v>41.78</v>
      </c>
      <c r="C229" s="1">
        <v>-71.44</v>
      </c>
    </row>
    <row r="230" spans="1:3" ht="15" x14ac:dyDescent="0.25">
      <c r="A230" s="2" t="s">
        <v>384</v>
      </c>
      <c r="B230" s="1">
        <v>42.25</v>
      </c>
      <c r="C230" s="1">
        <v>-71</v>
      </c>
    </row>
    <row r="231" spans="1:3" ht="15" x14ac:dyDescent="0.25">
      <c r="A231" s="2" t="s">
        <v>385</v>
      </c>
      <c r="B231" s="1">
        <v>45.12</v>
      </c>
      <c r="C231" s="1">
        <v>-93.29</v>
      </c>
    </row>
    <row r="232" spans="1:3" ht="15" x14ac:dyDescent="0.25">
      <c r="A232" s="2" t="s">
        <v>386</v>
      </c>
      <c r="B232" s="1">
        <v>37.32</v>
      </c>
      <c r="C232" s="1">
        <v>-122.03</v>
      </c>
    </row>
    <row r="233" spans="1:3" ht="15" x14ac:dyDescent="0.25">
      <c r="A233" s="2" t="s">
        <v>387</v>
      </c>
      <c r="B233" s="1">
        <v>35.79</v>
      </c>
      <c r="C233" s="1">
        <v>-78.78</v>
      </c>
    </row>
    <row r="234" spans="1:3" ht="15" x14ac:dyDescent="0.25">
      <c r="A234" s="2" t="s">
        <v>388</v>
      </c>
      <c r="B234" s="1">
        <v>43.8</v>
      </c>
      <c r="C234" s="1">
        <v>-91.24</v>
      </c>
    </row>
    <row r="235" spans="1:3" ht="15" x14ac:dyDescent="0.25">
      <c r="A235" s="2" t="s">
        <v>389</v>
      </c>
      <c r="B235" s="1">
        <v>33.58</v>
      </c>
      <c r="C235" s="1">
        <v>-101.86</v>
      </c>
    </row>
    <row r="236" spans="1:3" ht="15" x14ac:dyDescent="0.25">
      <c r="A236" s="2" t="s">
        <v>390</v>
      </c>
      <c r="B236" s="1">
        <v>34.700000000000003</v>
      </c>
      <c r="C236" s="1">
        <v>-118.14</v>
      </c>
    </row>
    <row r="237" spans="1:3" ht="15" x14ac:dyDescent="0.25">
      <c r="A237" s="2" t="s">
        <v>390</v>
      </c>
      <c r="B237" s="1">
        <v>40.04</v>
      </c>
      <c r="C237" s="1">
        <v>-76.31</v>
      </c>
    </row>
    <row r="238" spans="1:3" ht="15" x14ac:dyDescent="0.25">
      <c r="A238" s="2" t="s">
        <v>391</v>
      </c>
      <c r="B238" s="1">
        <v>42.73</v>
      </c>
      <c r="C238" s="1">
        <v>-84.56</v>
      </c>
    </row>
    <row r="239" spans="1:3" ht="15" x14ac:dyDescent="0.25">
      <c r="A239" s="2" t="s">
        <v>392</v>
      </c>
      <c r="B239" s="1">
        <v>27.51</v>
      </c>
      <c r="C239" s="1">
        <v>-99.51</v>
      </c>
    </row>
    <row r="240" spans="1:3" ht="15" x14ac:dyDescent="0.25">
      <c r="A240" s="2" t="s">
        <v>393</v>
      </c>
      <c r="B240" s="1">
        <v>36.18</v>
      </c>
      <c r="C240" s="1">
        <v>-115.14</v>
      </c>
    </row>
    <row r="241" spans="1:3" ht="15" x14ac:dyDescent="0.25">
      <c r="A241" s="2" t="s">
        <v>394</v>
      </c>
      <c r="B241" s="1">
        <v>32.31</v>
      </c>
      <c r="C241" s="1">
        <v>-106.78</v>
      </c>
    </row>
    <row r="242" spans="1:3" ht="15" x14ac:dyDescent="0.25">
      <c r="A242" s="2" t="s">
        <v>395</v>
      </c>
      <c r="B242" s="1">
        <v>40.42</v>
      </c>
      <c r="C242" s="1">
        <v>-86.88</v>
      </c>
    </row>
    <row r="243" spans="1:3" ht="15" x14ac:dyDescent="0.25">
      <c r="A243" s="2" t="s">
        <v>396</v>
      </c>
      <c r="B243" s="1">
        <v>30.22</v>
      </c>
      <c r="C243" s="1">
        <v>-92.02</v>
      </c>
    </row>
    <row r="244" spans="1:3" ht="15" x14ac:dyDescent="0.25">
      <c r="A244" s="2" t="s">
        <v>397</v>
      </c>
      <c r="B244" s="1">
        <v>34.479999999999997</v>
      </c>
      <c r="C244" s="1">
        <v>-114.32</v>
      </c>
    </row>
    <row r="245" spans="1:3" ht="15" x14ac:dyDescent="0.25">
      <c r="A245" s="2" t="s">
        <v>398</v>
      </c>
      <c r="B245" s="1">
        <v>30.21</v>
      </c>
      <c r="C245" s="1">
        <v>-93.2</v>
      </c>
    </row>
    <row r="246" spans="1:3" ht="15" x14ac:dyDescent="0.25">
      <c r="A246" s="2" t="s">
        <v>399</v>
      </c>
      <c r="B246" s="1">
        <v>33.67</v>
      </c>
      <c r="C246" s="1">
        <v>-117.33</v>
      </c>
    </row>
    <row r="247" spans="1:3" ht="15" x14ac:dyDescent="0.25">
      <c r="A247" s="2" t="s">
        <v>400</v>
      </c>
      <c r="B247" s="1">
        <v>44.65</v>
      </c>
      <c r="C247" s="1">
        <v>-93.24</v>
      </c>
    </row>
    <row r="248" spans="1:3" ht="15" x14ac:dyDescent="0.25">
      <c r="A248" s="2" t="s">
        <v>401</v>
      </c>
      <c r="B248" s="1">
        <v>41.48</v>
      </c>
      <c r="C248" s="1">
        <v>-81.8</v>
      </c>
    </row>
    <row r="249" spans="1:3" ht="15" x14ac:dyDescent="0.25">
      <c r="A249" s="2" t="s">
        <v>401</v>
      </c>
      <c r="B249" s="1">
        <v>40.1</v>
      </c>
      <c r="C249" s="1">
        <v>-74.22</v>
      </c>
    </row>
    <row r="250" spans="1:3" ht="15" x14ac:dyDescent="0.25">
      <c r="A250" s="2" t="s">
        <v>401</v>
      </c>
      <c r="B250" s="1">
        <v>47.17</v>
      </c>
      <c r="C250" s="1">
        <v>-122.52</v>
      </c>
    </row>
    <row r="251" spans="1:3" ht="15" x14ac:dyDescent="0.25">
      <c r="A251" s="2" t="s">
        <v>401</v>
      </c>
      <c r="B251" s="1">
        <v>33.85</v>
      </c>
      <c r="C251" s="1">
        <v>-118.13</v>
      </c>
    </row>
    <row r="252" spans="1:3" ht="15" x14ac:dyDescent="0.25">
      <c r="A252" s="2" t="s">
        <v>401</v>
      </c>
      <c r="B252" s="1">
        <v>39.700000000000003</v>
      </c>
      <c r="C252" s="1">
        <v>-105.08</v>
      </c>
    </row>
    <row r="253" spans="1:3" ht="15" x14ac:dyDescent="0.25">
      <c r="A253" s="2" t="s">
        <v>402</v>
      </c>
      <c r="B253" s="4">
        <v>44679</v>
      </c>
      <c r="C253" s="1">
        <v>-81.95</v>
      </c>
    </row>
    <row r="254" spans="1:3" ht="15" x14ac:dyDescent="0.25">
      <c r="A254" s="2" t="s">
        <v>403</v>
      </c>
      <c r="B254" s="1">
        <v>41.06</v>
      </c>
      <c r="C254" s="1">
        <v>-111.97</v>
      </c>
    </row>
    <row r="255" spans="1:3" ht="15" x14ac:dyDescent="0.25">
      <c r="A255" s="2" t="s">
        <v>404</v>
      </c>
      <c r="B255" s="1">
        <v>37.99</v>
      </c>
      <c r="C255" s="1">
        <v>-84.48</v>
      </c>
    </row>
    <row r="256" spans="1:3" ht="15" x14ac:dyDescent="0.25">
      <c r="A256" s="2" t="s">
        <v>405</v>
      </c>
      <c r="B256" s="1">
        <v>40.39</v>
      </c>
      <c r="C256" s="1">
        <v>-111.85</v>
      </c>
    </row>
    <row r="257" spans="1:3" ht="15" x14ac:dyDescent="0.25">
      <c r="A257" s="2" t="s">
        <v>406</v>
      </c>
      <c r="B257" s="1">
        <v>37.68</v>
      </c>
      <c r="C257" s="1">
        <v>-121.77</v>
      </c>
    </row>
    <row r="258" spans="1:3" ht="15" x14ac:dyDescent="0.25">
      <c r="A258" s="2" t="s">
        <v>407</v>
      </c>
      <c r="B258" s="1">
        <v>42.37</v>
      </c>
      <c r="C258" s="1">
        <v>-83.35</v>
      </c>
    </row>
    <row r="259" spans="1:3" ht="15" x14ac:dyDescent="0.25">
      <c r="A259" s="2" t="s">
        <v>408</v>
      </c>
      <c r="B259" s="1">
        <v>33.93</v>
      </c>
      <c r="C259" s="1">
        <v>-118.21</v>
      </c>
    </row>
    <row r="260" spans="1:3" ht="15" x14ac:dyDescent="0.25">
      <c r="A260" s="2" t="s">
        <v>409</v>
      </c>
      <c r="B260" s="1">
        <v>40.799999999999997</v>
      </c>
      <c r="C260" s="1">
        <v>-96.67</v>
      </c>
    </row>
    <row r="261" spans="1:3" ht="15" x14ac:dyDescent="0.25">
      <c r="A261" s="2" t="s">
        <v>410</v>
      </c>
      <c r="B261" s="1">
        <v>42.47</v>
      </c>
      <c r="C261" s="1">
        <v>-70.95</v>
      </c>
    </row>
    <row r="262" spans="1:3" ht="15" x14ac:dyDescent="0.25">
      <c r="A262" s="2" t="s">
        <v>411</v>
      </c>
      <c r="B262" s="1">
        <v>37.409999999999997</v>
      </c>
      <c r="C262" s="1">
        <v>-79.14</v>
      </c>
    </row>
    <row r="263" spans="1:3" ht="15" x14ac:dyDescent="0.25">
      <c r="A263" s="2" t="s">
        <v>412</v>
      </c>
      <c r="B263" s="1">
        <v>34.75</v>
      </c>
      <c r="C263" s="1">
        <v>-92.29</v>
      </c>
    </row>
    <row r="264" spans="1:3" ht="15" x14ac:dyDescent="0.25">
      <c r="A264" s="2" t="s">
        <v>413</v>
      </c>
      <c r="B264" s="1">
        <v>38.130000000000003</v>
      </c>
      <c r="C264" s="1">
        <v>-121.27</v>
      </c>
    </row>
    <row r="265" spans="1:3" ht="15" x14ac:dyDescent="0.25">
      <c r="A265" s="2" t="s">
        <v>414</v>
      </c>
      <c r="B265" s="1">
        <v>33.770000000000003</v>
      </c>
      <c r="C265" s="1">
        <v>-118.19</v>
      </c>
    </row>
    <row r="266" spans="1:3" ht="15" x14ac:dyDescent="0.25">
      <c r="A266" s="2" t="s">
        <v>415</v>
      </c>
      <c r="B266" s="1">
        <v>32.5</v>
      </c>
      <c r="C266" s="1">
        <v>-94.74</v>
      </c>
    </row>
    <row r="267" spans="1:3" ht="15" x14ac:dyDescent="0.25">
      <c r="A267" s="2" t="s">
        <v>416</v>
      </c>
      <c r="B267" s="1">
        <v>40.17</v>
      </c>
      <c r="C267" s="1">
        <v>-105.1</v>
      </c>
    </row>
    <row r="268" spans="1:3" ht="15" x14ac:dyDescent="0.25">
      <c r="A268" s="2" t="s">
        <v>417</v>
      </c>
      <c r="B268" s="1">
        <v>41.45</v>
      </c>
      <c r="C268" s="1">
        <v>-82.18</v>
      </c>
    </row>
    <row r="269" spans="1:3" ht="15" x14ac:dyDescent="0.25">
      <c r="A269" s="2" t="s">
        <v>12</v>
      </c>
      <c r="B269" s="1">
        <v>34.049999999999997</v>
      </c>
      <c r="C269" s="1">
        <v>-118.24</v>
      </c>
    </row>
    <row r="270" spans="1:3" ht="15" x14ac:dyDescent="0.25">
      <c r="A270" s="2" t="s">
        <v>418</v>
      </c>
      <c r="B270" s="1">
        <v>42.71</v>
      </c>
      <c r="C270" s="1">
        <v>-71.16</v>
      </c>
    </row>
    <row r="271" spans="1:3" ht="15" x14ac:dyDescent="0.25">
      <c r="A271" s="2" t="s">
        <v>418</v>
      </c>
      <c r="B271" s="1">
        <v>38.97</v>
      </c>
      <c r="C271" s="1">
        <v>-95.24</v>
      </c>
    </row>
    <row r="272" spans="1:3" ht="15" x14ac:dyDescent="0.25">
      <c r="A272" s="2" t="s">
        <v>419</v>
      </c>
      <c r="B272" s="1">
        <v>34.61</v>
      </c>
      <c r="C272" s="1">
        <v>-98.39</v>
      </c>
    </row>
    <row r="273" spans="1:3" ht="15" x14ac:dyDescent="0.25">
      <c r="A273" s="2" t="s">
        <v>420</v>
      </c>
      <c r="B273" s="1">
        <v>42.63</v>
      </c>
      <c r="C273" s="1">
        <v>-71.319999999999993</v>
      </c>
    </row>
    <row r="274" spans="1:3" ht="15" x14ac:dyDescent="0.25">
      <c r="A274" s="2" t="s">
        <v>421</v>
      </c>
      <c r="B274" s="1">
        <v>38.25</v>
      </c>
      <c r="C274" s="1">
        <v>-85.76</v>
      </c>
    </row>
    <row r="275" spans="1:3" ht="15" x14ac:dyDescent="0.25">
      <c r="A275" s="2" t="s">
        <v>422</v>
      </c>
      <c r="B275" s="1">
        <v>33.049999999999997</v>
      </c>
      <c r="C275" s="1">
        <v>-96.99</v>
      </c>
    </row>
    <row r="276" spans="1:3" ht="15" x14ac:dyDescent="0.25">
      <c r="A276" s="2" t="s">
        <v>423</v>
      </c>
      <c r="B276" s="1">
        <v>36.96</v>
      </c>
      <c r="C276" s="1">
        <v>-120.06</v>
      </c>
    </row>
    <row r="277" spans="1:3" ht="15" x14ac:dyDescent="0.25">
      <c r="A277" s="2" t="s">
        <v>23</v>
      </c>
      <c r="B277" s="1">
        <v>43.07</v>
      </c>
      <c r="C277" s="1">
        <v>-89.4</v>
      </c>
    </row>
    <row r="278" spans="1:3" ht="15" x14ac:dyDescent="0.25">
      <c r="A278" s="2" t="s">
        <v>424</v>
      </c>
      <c r="B278" s="1">
        <v>25.77</v>
      </c>
      <c r="C278" s="1">
        <v>-80.19</v>
      </c>
    </row>
    <row r="279" spans="1:3" ht="15" x14ac:dyDescent="0.25">
      <c r="A279" s="2" t="s">
        <v>425</v>
      </c>
      <c r="B279" s="1">
        <v>25.79</v>
      </c>
      <c r="C279" s="1">
        <v>-80.13</v>
      </c>
    </row>
    <row r="280" spans="1:3" ht="15" x14ac:dyDescent="0.25">
      <c r="A280" s="2" t="s">
        <v>426</v>
      </c>
      <c r="B280" s="1">
        <v>25.94</v>
      </c>
      <c r="C280" s="1">
        <v>-80.25</v>
      </c>
    </row>
    <row r="281" spans="1:3" ht="15" x14ac:dyDescent="0.25">
      <c r="A281" s="2" t="s">
        <v>427</v>
      </c>
      <c r="B281" s="3">
        <v>44618</v>
      </c>
      <c r="C281" s="1">
        <v>-98.23</v>
      </c>
    </row>
    <row r="282" spans="1:3" ht="15" x14ac:dyDescent="0.25">
      <c r="A282" s="2" t="s">
        <v>428</v>
      </c>
      <c r="B282" s="1">
        <v>33.200000000000003</v>
      </c>
      <c r="C282" s="1">
        <v>-96.62</v>
      </c>
    </row>
    <row r="283" spans="1:3" ht="15" x14ac:dyDescent="0.25">
      <c r="A283" s="2" t="s">
        <v>429</v>
      </c>
      <c r="B283" s="1">
        <v>40.19</v>
      </c>
      <c r="C283" s="1">
        <v>-85.39</v>
      </c>
    </row>
    <row r="284" spans="1:3" ht="15" x14ac:dyDescent="0.25">
      <c r="A284" s="2" t="s">
        <v>430</v>
      </c>
      <c r="B284" s="1">
        <v>40.78</v>
      </c>
      <c r="C284" s="1">
        <v>-73.97</v>
      </c>
    </row>
    <row r="285" spans="1:3" ht="15" x14ac:dyDescent="0.25">
      <c r="A285" s="2" t="s">
        <v>431</v>
      </c>
      <c r="B285" s="1">
        <v>39.18</v>
      </c>
      <c r="C285" s="1">
        <v>-96.57</v>
      </c>
    </row>
    <row r="286" spans="1:3" ht="15" x14ac:dyDescent="0.25">
      <c r="A286" s="2" t="s">
        <v>432</v>
      </c>
      <c r="B286" s="1">
        <v>43</v>
      </c>
      <c r="C286" s="1">
        <v>-71.45</v>
      </c>
    </row>
    <row r="287" spans="1:3" ht="15" x14ac:dyDescent="0.25">
      <c r="A287" s="2" t="s">
        <v>433</v>
      </c>
      <c r="B287" s="1">
        <v>33.950000000000003</v>
      </c>
      <c r="C287" s="1">
        <v>-84.55</v>
      </c>
    </row>
    <row r="288" spans="1:3" ht="15" x14ac:dyDescent="0.25">
      <c r="A288" s="2" t="s">
        <v>434</v>
      </c>
      <c r="B288" s="1">
        <v>40.909999999999997</v>
      </c>
      <c r="C288" s="1">
        <v>-73.84</v>
      </c>
    </row>
    <row r="289" spans="1:3" ht="15" x14ac:dyDescent="0.25">
      <c r="A289" s="2" t="s">
        <v>435</v>
      </c>
      <c r="B289" s="1">
        <v>37.39</v>
      </c>
      <c r="C289" s="1">
        <v>-122.08</v>
      </c>
    </row>
    <row r="290" spans="1:3" ht="15" x14ac:dyDescent="0.25">
      <c r="A290" s="2" t="s">
        <v>436</v>
      </c>
      <c r="B290" s="1">
        <v>42.42</v>
      </c>
      <c r="C290" s="1">
        <v>-71.11</v>
      </c>
    </row>
    <row r="291" spans="1:3" ht="15" x14ac:dyDescent="0.25">
      <c r="A291" s="2" t="s">
        <v>436</v>
      </c>
      <c r="B291" s="1">
        <v>42.33</v>
      </c>
      <c r="C291" s="1">
        <v>-122.88</v>
      </c>
    </row>
    <row r="292" spans="1:3" ht="15" x14ac:dyDescent="0.25">
      <c r="A292" s="2" t="s">
        <v>437</v>
      </c>
      <c r="B292" s="1">
        <v>32.840000000000003</v>
      </c>
      <c r="C292" s="1">
        <v>-83.63</v>
      </c>
    </row>
    <row r="293" spans="1:3" ht="15" x14ac:dyDescent="0.25">
      <c r="A293" s="2" t="s">
        <v>438</v>
      </c>
      <c r="B293" s="1">
        <v>45.07</v>
      </c>
      <c r="C293" s="1">
        <v>-93.46</v>
      </c>
    </row>
    <row r="294" spans="1:3" ht="15" x14ac:dyDescent="0.25">
      <c r="A294" s="2" t="s">
        <v>105</v>
      </c>
      <c r="B294" s="5">
        <v>28.08</v>
      </c>
      <c r="C294" s="1">
        <v>-80.61</v>
      </c>
    </row>
    <row r="295" spans="1:3" ht="15" x14ac:dyDescent="0.25">
      <c r="A295" s="2" t="s">
        <v>147</v>
      </c>
      <c r="B295" s="1">
        <v>35.15</v>
      </c>
      <c r="C295" s="1">
        <v>-90.05</v>
      </c>
    </row>
    <row r="296" spans="1:3" ht="15" x14ac:dyDescent="0.25">
      <c r="A296" s="2" t="s">
        <v>439</v>
      </c>
      <c r="B296" s="1">
        <v>41.54</v>
      </c>
      <c r="C296" s="1">
        <v>-72.81</v>
      </c>
    </row>
    <row r="297" spans="1:3" ht="15" x14ac:dyDescent="0.25">
      <c r="A297" s="2" t="s">
        <v>440</v>
      </c>
      <c r="B297" s="1">
        <v>43.61</v>
      </c>
      <c r="C297" s="1">
        <v>-116.39</v>
      </c>
    </row>
    <row r="298" spans="1:3" ht="15" x14ac:dyDescent="0.25">
      <c r="A298" s="2" t="s">
        <v>441</v>
      </c>
      <c r="B298" s="1">
        <v>37.299999999999997</v>
      </c>
      <c r="C298" s="1">
        <v>-120.48</v>
      </c>
    </row>
    <row r="299" spans="1:3" ht="15" x14ac:dyDescent="0.25">
      <c r="A299" s="2" t="s">
        <v>442</v>
      </c>
      <c r="B299" s="1">
        <v>33.42</v>
      </c>
      <c r="C299" s="1">
        <v>-111.82</v>
      </c>
    </row>
    <row r="300" spans="1:3" ht="15" x14ac:dyDescent="0.25">
      <c r="A300" s="2" t="s">
        <v>443</v>
      </c>
      <c r="B300" s="1">
        <v>32.770000000000003</v>
      </c>
      <c r="C300" s="1">
        <v>-96.6</v>
      </c>
    </row>
    <row r="301" spans="1:3" ht="15" x14ac:dyDescent="0.25">
      <c r="A301" s="2" t="s">
        <v>444</v>
      </c>
      <c r="B301" s="1">
        <v>32</v>
      </c>
      <c r="C301" s="1">
        <v>-102.08</v>
      </c>
    </row>
    <row r="302" spans="1:3" ht="15" x14ac:dyDescent="0.25">
      <c r="A302" s="2" t="s">
        <v>445</v>
      </c>
      <c r="B302" s="1">
        <v>35.450000000000003</v>
      </c>
      <c r="C302" s="1">
        <v>-97.4</v>
      </c>
    </row>
    <row r="303" spans="1:3" ht="15" x14ac:dyDescent="0.25">
      <c r="A303" s="2" t="s">
        <v>446</v>
      </c>
      <c r="B303" s="1">
        <v>43.04</v>
      </c>
      <c r="C303" s="1">
        <v>-87.91</v>
      </c>
    </row>
    <row r="304" spans="1:3" ht="15" x14ac:dyDescent="0.25">
      <c r="A304" s="2" t="s">
        <v>447</v>
      </c>
      <c r="B304" s="1">
        <v>41.22</v>
      </c>
      <c r="C304" s="1">
        <v>-73.06</v>
      </c>
    </row>
    <row r="305" spans="1:3" ht="15" x14ac:dyDescent="0.25">
      <c r="A305" s="2" t="s">
        <v>115</v>
      </c>
      <c r="B305" s="1">
        <v>44.98</v>
      </c>
      <c r="C305" s="1">
        <v>-93.26</v>
      </c>
    </row>
    <row r="306" spans="1:3" ht="15" x14ac:dyDescent="0.25">
      <c r="A306" s="2" t="s">
        <v>448</v>
      </c>
      <c r="B306" s="1">
        <v>44.91</v>
      </c>
      <c r="C306" s="1">
        <v>-93.5</v>
      </c>
    </row>
    <row r="307" spans="1:3" ht="15" x14ac:dyDescent="0.25">
      <c r="A307" s="2" t="s">
        <v>449</v>
      </c>
      <c r="B307" s="1">
        <v>25.99</v>
      </c>
      <c r="C307" s="1">
        <v>-80.23</v>
      </c>
    </row>
    <row r="308" spans="1:3" ht="15" x14ac:dyDescent="0.25">
      <c r="A308" s="2" t="s">
        <v>450</v>
      </c>
      <c r="B308" s="1">
        <v>26.22</v>
      </c>
      <c r="C308" s="1">
        <v>-98.33</v>
      </c>
    </row>
    <row r="309" spans="1:3" ht="15" x14ac:dyDescent="0.25">
      <c r="A309" s="2" t="s">
        <v>451</v>
      </c>
      <c r="B309" s="1">
        <v>46.87</v>
      </c>
      <c r="C309" s="1">
        <v>-113.99</v>
      </c>
    </row>
    <row r="310" spans="1:3" ht="15" x14ac:dyDescent="0.25">
      <c r="A310" s="2" t="s">
        <v>452</v>
      </c>
      <c r="B310" s="1">
        <v>33.6</v>
      </c>
      <c r="C310" s="1">
        <v>-117.67</v>
      </c>
    </row>
    <row r="311" spans="1:3" ht="15" x14ac:dyDescent="0.25">
      <c r="A311" s="2" t="s">
        <v>453</v>
      </c>
      <c r="B311" s="1">
        <v>30.69</v>
      </c>
      <c r="C311" s="1">
        <v>-88.04</v>
      </c>
    </row>
    <row r="312" spans="1:3" ht="15" x14ac:dyDescent="0.25">
      <c r="A312" s="2" t="s">
        <v>454</v>
      </c>
      <c r="B312" s="1">
        <v>37.64</v>
      </c>
      <c r="C312" s="1">
        <v>-121</v>
      </c>
    </row>
    <row r="313" spans="1:3" ht="15" x14ac:dyDescent="0.25">
      <c r="A313" s="2" t="s">
        <v>455</v>
      </c>
      <c r="B313" s="1">
        <v>32.369999999999997</v>
      </c>
      <c r="C313" s="1">
        <v>-86.3</v>
      </c>
    </row>
    <row r="314" spans="1:3" ht="15" x14ac:dyDescent="0.25">
      <c r="A314" s="2" t="s">
        <v>456</v>
      </c>
      <c r="B314" s="1">
        <v>34.01</v>
      </c>
      <c r="C314" s="1">
        <v>-118.11</v>
      </c>
    </row>
    <row r="315" spans="1:3" ht="15" x14ac:dyDescent="0.25">
      <c r="A315" s="2" t="s">
        <v>457</v>
      </c>
      <c r="B315" s="1">
        <v>44.26</v>
      </c>
      <c r="C315" s="1">
        <v>-72.58</v>
      </c>
    </row>
    <row r="316" spans="1:3" ht="15" x14ac:dyDescent="0.25">
      <c r="A316" s="2" t="s">
        <v>458</v>
      </c>
      <c r="B316" s="1">
        <v>33.94</v>
      </c>
      <c r="C316" s="1">
        <v>-117.23</v>
      </c>
    </row>
    <row r="317" spans="1:3" ht="15" x14ac:dyDescent="0.25">
      <c r="A317" s="2" t="s">
        <v>459</v>
      </c>
      <c r="B317" s="1">
        <v>35.340000000000003</v>
      </c>
      <c r="C317" s="1">
        <v>-97.49</v>
      </c>
    </row>
    <row r="318" spans="1:3" ht="15" x14ac:dyDescent="0.25">
      <c r="A318" s="2" t="s">
        <v>460</v>
      </c>
      <c r="B318" s="1">
        <v>35.85</v>
      </c>
      <c r="C318" s="1">
        <v>-86.39</v>
      </c>
    </row>
    <row r="319" spans="1:3" ht="15" x14ac:dyDescent="0.25">
      <c r="A319" s="2" t="s">
        <v>461</v>
      </c>
      <c r="B319" s="1">
        <v>32.56</v>
      </c>
      <c r="C319" s="1">
        <v>-97.14</v>
      </c>
    </row>
    <row r="320" spans="1:3" ht="15" x14ac:dyDescent="0.25">
      <c r="A320" s="2" t="s">
        <v>462</v>
      </c>
      <c r="B320" s="1">
        <v>43.54</v>
      </c>
      <c r="C320" s="1">
        <v>-116.56</v>
      </c>
    </row>
    <row r="321" spans="1:3" ht="15" x14ac:dyDescent="0.25">
      <c r="A321" s="2" t="s">
        <v>463</v>
      </c>
      <c r="B321" s="1">
        <v>38.299999999999997</v>
      </c>
      <c r="C321" s="1">
        <v>-122.29</v>
      </c>
    </row>
    <row r="322" spans="1:3" ht="15" x14ac:dyDescent="0.25">
      <c r="A322" s="2" t="s">
        <v>464</v>
      </c>
      <c r="B322" s="1">
        <v>36.17</v>
      </c>
      <c r="C322" s="1">
        <v>-86.78</v>
      </c>
    </row>
    <row r="323" spans="1:3" ht="15" x14ac:dyDescent="0.25">
      <c r="A323" s="2" t="s">
        <v>465</v>
      </c>
      <c r="B323" s="1">
        <v>42.77</v>
      </c>
      <c r="C323" s="1">
        <v>-71.47</v>
      </c>
    </row>
    <row r="324" spans="1:3" ht="15" x14ac:dyDescent="0.25">
      <c r="A324" s="2" t="s">
        <v>86</v>
      </c>
      <c r="B324" s="1">
        <v>41.79</v>
      </c>
      <c r="C324" s="1">
        <v>-88.15</v>
      </c>
    </row>
    <row r="325" spans="1:3" ht="15" x14ac:dyDescent="0.25">
      <c r="A325" s="2" t="s">
        <v>466</v>
      </c>
      <c r="B325" s="1">
        <v>38.11</v>
      </c>
      <c r="C325" s="1">
        <v>-122.57</v>
      </c>
    </row>
    <row r="326" spans="1:3" ht="15" x14ac:dyDescent="0.25">
      <c r="A326" s="2" t="s">
        <v>467</v>
      </c>
      <c r="B326" s="1">
        <v>42.48</v>
      </c>
      <c r="C326" s="1">
        <v>-83.48</v>
      </c>
    </row>
    <row r="327" spans="1:3" ht="15" x14ac:dyDescent="0.25">
      <c r="A327" s="2" t="s">
        <v>468</v>
      </c>
      <c r="B327" s="1">
        <v>29.95</v>
      </c>
      <c r="C327" s="1">
        <v>-90.08</v>
      </c>
    </row>
    <row r="328" spans="1:3" ht="15" x14ac:dyDescent="0.25">
      <c r="A328" s="2" t="s">
        <v>469</v>
      </c>
      <c r="B328" s="1">
        <v>35.96</v>
      </c>
      <c r="C328" s="1">
        <v>-83.92</v>
      </c>
    </row>
    <row r="329" spans="1:3" ht="15" x14ac:dyDescent="0.25">
      <c r="A329" s="2" t="s">
        <v>470</v>
      </c>
      <c r="B329" s="1">
        <v>40.51</v>
      </c>
      <c r="C329" s="1">
        <v>-88.99</v>
      </c>
    </row>
    <row r="330" spans="1:3" ht="15" x14ac:dyDescent="0.25">
      <c r="A330" s="2" t="s">
        <v>471</v>
      </c>
      <c r="B330" s="1">
        <v>35.22</v>
      </c>
      <c r="C330" s="1">
        <v>-97.44</v>
      </c>
    </row>
    <row r="331" spans="1:3" ht="15" x14ac:dyDescent="0.25">
      <c r="A331" s="2" t="s">
        <v>472</v>
      </c>
      <c r="B331" s="1">
        <v>36.200000000000003</v>
      </c>
      <c r="C331" s="1">
        <v>-115.12</v>
      </c>
    </row>
    <row r="332" spans="1:3" ht="15" x14ac:dyDescent="0.25">
      <c r="A332" s="2" t="s">
        <v>473</v>
      </c>
      <c r="B332" s="1">
        <v>34.770000000000003</v>
      </c>
      <c r="C332" s="1">
        <v>-92.27</v>
      </c>
    </row>
    <row r="333" spans="1:3" ht="15" x14ac:dyDescent="0.25">
      <c r="A333" s="2" t="s">
        <v>474</v>
      </c>
      <c r="B333" s="1">
        <v>32.85</v>
      </c>
      <c r="C333" s="1">
        <v>-79.97</v>
      </c>
    </row>
    <row r="334" spans="1:3" ht="15" x14ac:dyDescent="0.25">
      <c r="A334" s="2" t="s">
        <v>475</v>
      </c>
      <c r="B334" s="1">
        <v>41.12</v>
      </c>
      <c r="C334" s="1">
        <v>-73.41</v>
      </c>
    </row>
    <row r="335" spans="1:3" ht="15" x14ac:dyDescent="0.25">
      <c r="A335" s="2" t="s">
        <v>475</v>
      </c>
      <c r="B335" s="1">
        <v>33.9</v>
      </c>
      <c r="C335" s="1">
        <v>-118.08</v>
      </c>
    </row>
    <row r="336" spans="1:3" ht="15" x14ac:dyDescent="0.25">
      <c r="A336" s="2" t="s">
        <v>476</v>
      </c>
      <c r="B336" s="1">
        <v>36.85</v>
      </c>
      <c r="C336" s="1">
        <v>-76.290000000000006</v>
      </c>
    </row>
    <row r="337" spans="1:3" ht="15" x14ac:dyDescent="0.25">
      <c r="A337" s="2" t="s">
        <v>477</v>
      </c>
      <c r="B337" s="1">
        <v>41.64</v>
      </c>
      <c r="C337" s="1">
        <v>-70.930000000000007</v>
      </c>
    </row>
    <row r="338" spans="1:3" ht="15" x14ac:dyDescent="0.25">
      <c r="A338" s="2" t="s">
        <v>478</v>
      </c>
      <c r="B338" s="1">
        <v>40.49</v>
      </c>
      <c r="C338" s="1">
        <v>-74.45</v>
      </c>
    </row>
    <row r="339" spans="1:3" ht="15" x14ac:dyDescent="0.25">
      <c r="A339" s="2" t="s">
        <v>479</v>
      </c>
      <c r="B339" s="5">
        <v>29.7</v>
      </c>
      <c r="C339" s="1">
        <v>-98.12</v>
      </c>
    </row>
    <row r="340" spans="1:3" ht="15" x14ac:dyDescent="0.25">
      <c r="A340" s="2" t="s">
        <v>480</v>
      </c>
      <c r="B340" s="1">
        <v>41.66</v>
      </c>
      <c r="C340" s="1">
        <v>-72.78</v>
      </c>
    </row>
    <row r="341" spans="1:3" ht="15" x14ac:dyDescent="0.25">
      <c r="A341" s="2" t="s">
        <v>18</v>
      </c>
      <c r="B341" s="1">
        <v>40.71</v>
      </c>
      <c r="C341" s="1">
        <v>-74.010000000000005</v>
      </c>
    </row>
    <row r="342" spans="1:3" ht="15" x14ac:dyDescent="0.25">
      <c r="A342" s="2" t="s">
        <v>481</v>
      </c>
      <c r="B342" s="1">
        <v>40.909999999999997</v>
      </c>
      <c r="C342" s="1">
        <v>-73.78</v>
      </c>
    </row>
    <row r="343" spans="1:3" ht="15" x14ac:dyDescent="0.25">
      <c r="A343" s="2" t="s">
        <v>482</v>
      </c>
      <c r="B343" s="1">
        <v>41.31</v>
      </c>
      <c r="C343" s="1">
        <v>-72.930000000000007</v>
      </c>
    </row>
    <row r="344" spans="1:3" ht="15" x14ac:dyDescent="0.25">
      <c r="A344" s="2" t="s">
        <v>483</v>
      </c>
      <c r="B344" s="1">
        <v>40.74</v>
      </c>
      <c r="C344" s="1">
        <v>-74.17</v>
      </c>
    </row>
    <row r="345" spans="1:3" ht="15" x14ac:dyDescent="0.25">
      <c r="A345" s="2" t="s">
        <v>484</v>
      </c>
      <c r="B345" s="1">
        <v>37.08</v>
      </c>
      <c r="C345" s="1">
        <v>-76.47</v>
      </c>
    </row>
    <row r="346" spans="1:3" ht="15" x14ac:dyDescent="0.25">
      <c r="A346" s="2" t="s">
        <v>485</v>
      </c>
      <c r="B346" s="1">
        <v>42.34</v>
      </c>
      <c r="C346" s="1">
        <v>-71.209999999999994</v>
      </c>
    </row>
    <row r="347" spans="1:3" ht="15" x14ac:dyDescent="0.25">
      <c r="A347" s="2" t="s">
        <v>486</v>
      </c>
      <c r="B347" s="1">
        <v>44.81</v>
      </c>
      <c r="C347" s="1">
        <v>-91.5</v>
      </c>
    </row>
    <row r="348" spans="1:3" ht="15" x14ac:dyDescent="0.25">
      <c r="A348" s="2" t="s">
        <v>487</v>
      </c>
      <c r="B348" s="1">
        <v>32.61</v>
      </c>
      <c r="C348" s="1">
        <v>-85.48</v>
      </c>
    </row>
    <row r="349" spans="1:3" ht="15" x14ac:dyDescent="0.25">
      <c r="A349" s="2" t="s">
        <v>488</v>
      </c>
      <c r="B349" s="1">
        <v>37.770000000000003</v>
      </c>
      <c r="C349" s="1">
        <v>-87.11</v>
      </c>
    </row>
    <row r="350" spans="1:3" ht="15" x14ac:dyDescent="0.25">
      <c r="A350" s="2" t="s">
        <v>489</v>
      </c>
      <c r="B350" s="1">
        <v>38.979999999999997</v>
      </c>
      <c r="C350" s="1">
        <v>-94.67</v>
      </c>
    </row>
    <row r="351" spans="1:3" ht="15" x14ac:dyDescent="0.25">
      <c r="A351" s="2" t="s">
        <v>490</v>
      </c>
      <c r="B351" s="1">
        <v>44.31</v>
      </c>
      <c r="C351" s="1">
        <v>-69.78</v>
      </c>
    </row>
    <row r="352" spans="1:3" ht="15" x14ac:dyDescent="0.25">
      <c r="A352" s="2" t="s">
        <v>491</v>
      </c>
      <c r="B352" s="1">
        <v>41.22</v>
      </c>
      <c r="C352" s="1">
        <v>-111.97</v>
      </c>
    </row>
    <row r="353" spans="1:3" ht="15" x14ac:dyDescent="0.25">
      <c r="A353" s="2" t="s">
        <v>492</v>
      </c>
      <c r="B353" s="1">
        <v>31.85</v>
      </c>
      <c r="C353" s="1">
        <v>-102.37</v>
      </c>
    </row>
    <row r="354" spans="1:3" ht="15" x14ac:dyDescent="0.25">
      <c r="A354" s="2" t="s">
        <v>493</v>
      </c>
      <c r="B354" s="1">
        <v>29.19</v>
      </c>
      <c r="C354" s="1">
        <v>-82.14</v>
      </c>
    </row>
    <row r="355" spans="1:3" ht="15" x14ac:dyDescent="0.25">
      <c r="A355" s="2" t="s">
        <v>494</v>
      </c>
      <c r="B355" s="1">
        <v>35.47</v>
      </c>
      <c r="C355" s="1">
        <v>-97.52</v>
      </c>
    </row>
    <row r="356" spans="1:3" ht="15" x14ac:dyDescent="0.25">
      <c r="A356" s="2" t="s">
        <v>495</v>
      </c>
      <c r="B356" s="1">
        <v>37.799999999999997</v>
      </c>
      <c r="C356" s="1">
        <v>-122.27</v>
      </c>
    </row>
    <row r="357" spans="1:3" ht="15" x14ac:dyDescent="0.25">
      <c r="A357" s="2" t="s">
        <v>496</v>
      </c>
      <c r="B357" s="1">
        <v>34.200000000000003</v>
      </c>
      <c r="C357" s="1">
        <v>-119.18</v>
      </c>
    </row>
    <row r="358" spans="1:3" ht="15" x14ac:dyDescent="0.25">
      <c r="A358" s="2" t="s">
        <v>54</v>
      </c>
      <c r="B358" s="1">
        <v>42.65</v>
      </c>
      <c r="C358" s="1">
        <v>-73.760000000000005</v>
      </c>
    </row>
    <row r="359" spans="1:3" ht="15" x14ac:dyDescent="0.25">
      <c r="A359" s="2" t="s">
        <v>54</v>
      </c>
      <c r="B359" s="1">
        <v>44.64</v>
      </c>
      <c r="C359" s="1">
        <v>-123.11</v>
      </c>
    </row>
    <row r="360" spans="1:3" ht="15" x14ac:dyDescent="0.25">
      <c r="A360" s="2" t="s">
        <v>54</v>
      </c>
      <c r="B360" s="1">
        <v>31.58</v>
      </c>
      <c r="C360" s="1">
        <v>-84.16</v>
      </c>
    </row>
    <row r="361" spans="1:3" ht="15" x14ac:dyDescent="0.25">
      <c r="A361" s="2" t="s">
        <v>497</v>
      </c>
      <c r="B361" s="1">
        <v>38.880000000000003</v>
      </c>
      <c r="C361" s="1">
        <v>-94.82</v>
      </c>
    </row>
    <row r="362" spans="1:3" ht="15" x14ac:dyDescent="0.25">
      <c r="A362" s="2" t="s">
        <v>498</v>
      </c>
      <c r="B362" s="1">
        <v>47.04</v>
      </c>
      <c r="C362" s="1">
        <v>-122.9</v>
      </c>
    </row>
    <row r="363" spans="1:3" ht="15" x14ac:dyDescent="0.25">
      <c r="A363" s="2" t="s">
        <v>499</v>
      </c>
      <c r="B363" s="1">
        <v>41.26</v>
      </c>
      <c r="C363" s="1">
        <v>-95.94</v>
      </c>
    </row>
    <row r="364" spans="1:3" ht="15" x14ac:dyDescent="0.25">
      <c r="A364" s="2" t="s">
        <v>500</v>
      </c>
      <c r="B364" s="1">
        <v>34.06</v>
      </c>
      <c r="C364" s="1">
        <v>-117.65</v>
      </c>
    </row>
    <row r="365" spans="1:3" ht="15" x14ac:dyDescent="0.25">
      <c r="A365" s="2" t="s">
        <v>30</v>
      </c>
      <c r="B365" s="1">
        <v>40.299999999999997</v>
      </c>
      <c r="C365" s="1">
        <v>-111.7</v>
      </c>
    </row>
    <row r="366" spans="1:3" ht="15" x14ac:dyDescent="0.25">
      <c r="A366" s="2" t="s">
        <v>501</v>
      </c>
      <c r="B366" s="1">
        <v>33.79</v>
      </c>
      <c r="C366" s="1">
        <v>-117.85</v>
      </c>
    </row>
    <row r="367" spans="1:3" ht="15" x14ac:dyDescent="0.25">
      <c r="A367" s="2" t="s">
        <v>502</v>
      </c>
      <c r="B367" s="1">
        <v>28.54</v>
      </c>
      <c r="C367" s="1">
        <v>-81.38</v>
      </c>
    </row>
    <row r="368" spans="1:3" ht="15" x14ac:dyDescent="0.25">
      <c r="A368" s="2" t="s">
        <v>503</v>
      </c>
      <c r="B368" s="1">
        <v>39.729999999999997</v>
      </c>
      <c r="C368" s="1">
        <v>-104.83</v>
      </c>
    </row>
    <row r="369" spans="1:3" ht="15" x14ac:dyDescent="0.25">
      <c r="A369" s="2" t="s">
        <v>504</v>
      </c>
      <c r="B369" s="1">
        <v>30.27</v>
      </c>
      <c r="C369" s="1">
        <v>-97.74</v>
      </c>
    </row>
    <row r="370" spans="1:3" ht="15" x14ac:dyDescent="0.25">
      <c r="A370" s="2" t="s">
        <v>505</v>
      </c>
      <c r="B370" s="1">
        <v>41.89</v>
      </c>
      <c r="C370" s="1">
        <v>-87.78</v>
      </c>
    </row>
    <row r="371" spans="1:3" ht="15" x14ac:dyDescent="0.25">
      <c r="A371" s="2" t="s">
        <v>506</v>
      </c>
      <c r="B371" s="1">
        <v>33.200000000000003</v>
      </c>
      <c r="C371" s="1">
        <v>-117.38</v>
      </c>
    </row>
    <row r="372" spans="1:3" ht="15" x14ac:dyDescent="0.25">
      <c r="A372" s="2" t="s">
        <v>507</v>
      </c>
      <c r="B372" s="1">
        <v>44.02</v>
      </c>
      <c r="C372" s="1">
        <v>-88.54</v>
      </c>
    </row>
    <row r="373" spans="1:3" ht="15" x14ac:dyDescent="0.25">
      <c r="A373" s="2" t="s">
        <v>508</v>
      </c>
      <c r="B373" s="1">
        <v>42.11</v>
      </c>
      <c r="C373" s="1">
        <v>-88.03</v>
      </c>
    </row>
    <row r="374" spans="1:3" ht="15" x14ac:dyDescent="0.25">
      <c r="A374" s="2" t="s">
        <v>509</v>
      </c>
      <c r="B374" s="4">
        <v>44648</v>
      </c>
      <c r="C374" s="1">
        <v>-80.59</v>
      </c>
    </row>
    <row r="375" spans="1:3" ht="15" x14ac:dyDescent="0.25">
      <c r="A375" s="2" t="s">
        <v>510</v>
      </c>
      <c r="B375" s="1">
        <v>26.82</v>
      </c>
      <c r="C375" s="1">
        <v>-80.14</v>
      </c>
    </row>
    <row r="376" spans="1:3" ht="15" x14ac:dyDescent="0.25">
      <c r="A376" s="2" t="s">
        <v>511</v>
      </c>
      <c r="B376" s="1">
        <v>33.72</v>
      </c>
      <c r="C376" s="1">
        <v>-116.38</v>
      </c>
    </row>
    <row r="377" spans="1:3" ht="15" x14ac:dyDescent="0.25">
      <c r="A377" s="2" t="s">
        <v>512</v>
      </c>
      <c r="B377" s="4">
        <v>44801</v>
      </c>
      <c r="C377" s="1">
        <v>-82.76</v>
      </c>
    </row>
    <row r="378" spans="1:3" ht="15" x14ac:dyDescent="0.25">
      <c r="A378" s="2" t="s">
        <v>513</v>
      </c>
      <c r="B378" s="1">
        <v>34.58</v>
      </c>
      <c r="C378" s="1">
        <v>-118.12</v>
      </c>
    </row>
    <row r="379" spans="1:3" ht="15" x14ac:dyDescent="0.25">
      <c r="A379" s="2" t="s">
        <v>514</v>
      </c>
      <c r="B379" s="1">
        <v>37.44</v>
      </c>
      <c r="C379" s="1">
        <v>-122.14</v>
      </c>
    </row>
    <row r="380" spans="1:3" ht="15" x14ac:dyDescent="0.25">
      <c r="A380" s="2" t="s">
        <v>515</v>
      </c>
      <c r="B380" s="1">
        <v>36.1</v>
      </c>
      <c r="C380" s="1">
        <v>-115.15</v>
      </c>
    </row>
    <row r="381" spans="1:3" ht="15" x14ac:dyDescent="0.25">
      <c r="A381" s="2" t="s">
        <v>516</v>
      </c>
      <c r="B381" s="1">
        <v>41.4</v>
      </c>
      <c r="C381" s="1">
        <v>-81.72</v>
      </c>
    </row>
    <row r="382" spans="1:3" ht="15" x14ac:dyDescent="0.25">
      <c r="A382" s="2" t="s">
        <v>517</v>
      </c>
      <c r="B382" s="1">
        <v>40.86</v>
      </c>
      <c r="C382" s="1">
        <v>-74.430000000000007</v>
      </c>
    </row>
    <row r="383" spans="1:3" ht="15" x14ac:dyDescent="0.25">
      <c r="A383" s="2" t="s">
        <v>518</v>
      </c>
      <c r="B383" s="1">
        <v>34.15</v>
      </c>
      <c r="C383" s="1">
        <v>-118.15</v>
      </c>
    </row>
    <row r="384" spans="1:3" ht="15" x14ac:dyDescent="0.25">
      <c r="A384" s="2" t="s">
        <v>518</v>
      </c>
      <c r="B384" s="1">
        <v>29.69</v>
      </c>
      <c r="C384" s="1">
        <v>-95.21</v>
      </c>
    </row>
    <row r="385" spans="1:3" ht="15" x14ac:dyDescent="0.25">
      <c r="A385" s="2" t="s">
        <v>519</v>
      </c>
      <c r="B385" s="1">
        <v>40.92</v>
      </c>
      <c r="C385" s="1">
        <v>-74.17</v>
      </c>
    </row>
    <row r="386" spans="1:3" ht="15" x14ac:dyDescent="0.25">
      <c r="A386" s="2" t="s">
        <v>520</v>
      </c>
      <c r="B386" s="1">
        <v>26</v>
      </c>
      <c r="C386" s="1">
        <v>-80.22</v>
      </c>
    </row>
    <row r="387" spans="1:3" ht="15" x14ac:dyDescent="0.25">
      <c r="A387" s="2" t="s">
        <v>521</v>
      </c>
      <c r="B387" s="1">
        <v>30.42</v>
      </c>
      <c r="C387" s="1">
        <v>-87.22</v>
      </c>
    </row>
    <row r="388" spans="1:3" ht="15" x14ac:dyDescent="0.25">
      <c r="A388" s="2" t="s">
        <v>522</v>
      </c>
      <c r="B388" s="1">
        <v>33.58</v>
      </c>
      <c r="C388" s="1">
        <v>-112.24</v>
      </c>
    </row>
    <row r="389" spans="1:3" ht="15" x14ac:dyDescent="0.25">
      <c r="A389" s="2" t="s">
        <v>522</v>
      </c>
      <c r="B389" s="1">
        <v>40.69</v>
      </c>
      <c r="C389" s="1">
        <v>-89.59</v>
      </c>
    </row>
    <row r="390" spans="1:3" ht="15" x14ac:dyDescent="0.25">
      <c r="A390" s="2" t="s">
        <v>523</v>
      </c>
      <c r="B390" s="1">
        <v>33.78</v>
      </c>
      <c r="C390" s="1">
        <v>-117.23</v>
      </c>
    </row>
    <row r="391" spans="1:3" ht="15" x14ac:dyDescent="0.25">
      <c r="A391" s="2" t="s">
        <v>524</v>
      </c>
      <c r="B391" s="1">
        <v>46.24</v>
      </c>
      <c r="C391" s="1">
        <v>-119.1</v>
      </c>
    </row>
    <row r="392" spans="1:3" ht="15" x14ac:dyDescent="0.25">
      <c r="A392" s="2" t="s">
        <v>525</v>
      </c>
      <c r="B392" s="1">
        <v>38.229999999999997</v>
      </c>
      <c r="C392" s="1">
        <v>-122.64</v>
      </c>
    </row>
    <row r="393" spans="1:3" ht="15" x14ac:dyDescent="0.25">
      <c r="A393" s="2" t="s">
        <v>526</v>
      </c>
      <c r="B393" s="1">
        <v>42.53</v>
      </c>
      <c r="C393" s="1">
        <v>-70.930000000000007</v>
      </c>
    </row>
    <row r="394" spans="1:3" ht="15" x14ac:dyDescent="0.25">
      <c r="A394" s="2" t="s">
        <v>527</v>
      </c>
      <c r="B394" s="1">
        <v>44.37</v>
      </c>
      <c r="C394" s="1">
        <v>-100.35</v>
      </c>
    </row>
    <row r="395" spans="1:3" ht="15" x14ac:dyDescent="0.25">
      <c r="A395" s="2" t="s">
        <v>528</v>
      </c>
      <c r="B395" s="1">
        <v>40.44</v>
      </c>
      <c r="C395" s="1">
        <v>-80</v>
      </c>
    </row>
    <row r="396" spans="1:3" ht="15" x14ac:dyDescent="0.25">
      <c r="A396" s="2" t="s">
        <v>529</v>
      </c>
      <c r="B396" s="1">
        <v>26.13</v>
      </c>
      <c r="C396" s="1">
        <v>-80.23</v>
      </c>
    </row>
    <row r="397" spans="1:3" ht="15" x14ac:dyDescent="0.25">
      <c r="A397" s="2" t="s">
        <v>530</v>
      </c>
      <c r="B397" s="1">
        <v>37.659999999999997</v>
      </c>
      <c r="C397" s="1">
        <v>-121.88</v>
      </c>
    </row>
    <row r="398" spans="1:3" ht="15" x14ac:dyDescent="0.25">
      <c r="A398" s="2" t="s">
        <v>531</v>
      </c>
      <c r="B398" s="1">
        <v>33.020000000000003</v>
      </c>
      <c r="C398" s="1">
        <v>-96.7</v>
      </c>
    </row>
    <row r="399" spans="1:3" ht="15" x14ac:dyDescent="0.25">
      <c r="A399" s="2" t="s">
        <v>532</v>
      </c>
      <c r="B399" s="1">
        <v>40.630000000000003</v>
      </c>
      <c r="C399" s="1">
        <v>-74.41</v>
      </c>
    </row>
    <row r="400" spans="1:3" ht="15" x14ac:dyDescent="0.25">
      <c r="A400" s="2" t="s">
        <v>533</v>
      </c>
      <c r="B400" s="1">
        <v>45.01</v>
      </c>
      <c r="C400" s="1">
        <v>-93.46</v>
      </c>
    </row>
    <row r="401" spans="1:3" ht="15" x14ac:dyDescent="0.25">
      <c r="A401" s="2" t="s">
        <v>534</v>
      </c>
      <c r="B401" s="1">
        <v>42.87</v>
      </c>
      <c r="C401" s="1">
        <v>-112.45</v>
      </c>
    </row>
    <row r="402" spans="1:3" ht="15" x14ac:dyDescent="0.25">
      <c r="A402" s="2" t="s">
        <v>535</v>
      </c>
      <c r="B402" s="1">
        <v>34.06</v>
      </c>
      <c r="C402" s="1">
        <v>-117.75</v>
      </c>
    </row>
    <row r="403" spans="1:3" ht="15" x14ac:dyDescent="0.25">
      <c r="A403" s="2" t="s">
        <v>536</v>
      </c>
      <c r="B403" s="1">
        <v>26.24</v>
      </c>
      <c r="C403" s="1">
        <v>-80.12</v>
      </c>
    </row>
    <row r="404" spans="1:3" ht="15" x14ac:dyDescent="0.25">
      <c r="A404" s="2" t="s">
        <v>537</v>
      </c>
      <c r="B404" s="1">
        <v>42.64</v>
      </c>
      <c r="C404" s="1">
        <v>-83.29</v>
      </c>
    </row>
    <row r="405" spans="1:3" ht="15" x14ac:dyDescent="0.25">
      <c r="A405" s="2" t="s">
        <v>538</v>
      </c>
      <c r="B405" s="1">
        <v>29.89</v>
      </c>
      <c r="C405" s="1">
        <v>-93.94</v>
      </c>
    </row>
    <row r="406" spans="1:3" ht="15" x14ac:dyDescent="0.25">
      <c r="A406" s="2" t="s">
        <v>539</v>
      </c>
      <c r="B406" s="1">
        <v>26.98</v>
      </c>
      <c r="C406" s="1">
        <v>-82.09</v>
      </c>
    </row>
    <row r="407" spans="1:3" ht="15" x14ac:dyDescent="0.25">
      <c r="A407" s="2" t="s">
        <v>137</v>
      </c>
      <c r="B407" s="1">
        <v>43.66</v>
      </c>
      <c r="C407" s="1">
        <v>-70.260000000000005</v>
      </c>
    </row>
    <row r="408" spans="1:3" ht="15" x14ac:dyDescent="0.25">
      <c r="A408" s="2" t="s">
        <v>137</v>
      </c>
      <c r="B408" s="1">
        <v>45.52</v>
      </c>
      <c r="C408" s="1">
        <v>-122.68</v>
      </c>
    </row>
    <row r="409" spans="1:3" ht="15" x14ac:dyDescent="0.25">
      <c r="A409" s="2" t="s">
        <v>540</v>
      </c>
      <c r="B409" s="1">
        <v>36.840000000000003</v>
      </c>
      <c r="C409" s="1">
        <v>-76.3</v>
      </c>
    </row>
    <row r="410" spans="1:3" ht="15" x14ac:dyDescent="0.25">
      <c r="A410" s="2" t="s">
        <v>541</v>
      </c>
      <c r="B410" s="1">
        <v>41.88</v>
      </c>
      <c r="C410" s="1">
        <v>-71.38</v>
      </c>
    </row>
    <row r="411" spans="1:3" ht="15" x14ac:dyDescent="0.25">
      <c r="A411" s="2" t="s">
        <v>542</v>
      </c>
      <c r="B411" s="1">
        <v>41.82</v>
      </c>
      <c r="C411" s="1">
        <v>-71.41</v>
      </c>
    </row>
    <row r="412" spans="1:3" ht="15" x14ac:dyDescent="0.25">
      <c r="A412" s="2" t="s">
        <v>543</v>
      </c>
      <c r="B412" s="1">
        <v>40.229999999999997</v>
      </c>
      <c r="C412" s="1">
        <v>-111.66</v>
      </c>
    </row>
    <row r="413" spans="1:3" ht="15" x14ac:dyDescent="0.25">
      <c r="A413" s="2" t="s">
        <v>544</v>
      </c>
      <c r="B413" s="1">
        <v>38.25</v>
      </c>
      <c r="C413" s="1">
        <v>-104.61</v>
      </c>
    </row>
    <row r="414" spans="1:3" ht="15" x14ac:dyDescent="0.25">
      <c r="A414" s="2" t="s">
        <v>545</v>
      </c>
      <c r="B414" s="1">
        <v>29.56</v>
      </c>
      <c r="C414" s="1">
        <v>-95.29</v>
      </c>
    </row>
    <row r="415" spans="1:3" ht="15" x14ac:dyDescent="0.25">
      <c r="A415" s="2" t="s">
        <v>546</v>
      </c>
      <c r="B415" s="1">
        <v>34.11</v>
      </c>
      <c r="C415" s="1">
        <v>-117.59</v>
      </c>
    </row>
    <row r="416" spans="1:3" ht="15" x14ac:dyDescent="0.25">
      <c r="A416" s="2" t="s">
        <v>547</v>
      </c>
      <c r="B416" s="1">
        <v>44.08</v>
      </c>
      <c r="C416" s="1">
        <v>-103.23</v>
      </c>
    </row>
    <row r="417" spans="1:3" ht="15" x14ac:dyDescent="0.25">
      <c r="A417" s="2" t="s">
        <v>548</v>
      </c>
      <c r="B417" s="1">
        <v>42.73</v>
      </c>
      <c r="C417" s="1">
        <v>-87.78</v>
      </c>
    </row>
    <row r="418" spans="1:3" ht="15" x14ac:dyDescent="0.25">
      <c r="A418" s="2" t="s">
        <v>549</v>
      </c>
      <c r="B418" s="1">
        <v>30.51</v>
      </c>
      <c r="C418" s="1">
        <v>-97.68</v>
      </c>
    </row>
    <row r="419" spans="1:3" ht="15" x14ac:dyDescent="0.25">
      <c r="A419" s="2" t="s">
        <v>550</v>
      </c>
      <c r="B419" s="1">
        <v>37.49</v>
      </c>
      <c r="C419" s="1">
        <v>-122.24</v>
      </c>
    </row>
    <row r="420" spans="1:3" ht="15" x14ac:dyDescent="0.25">
      <c r="A420" s="2" t="s">
        <v>551</v>
      </c>
      <c r="B420" s="1">
        <v>40.590000000000003</v>
      </c>
      <c r="C420" s="1">
        <v>-122.39</v>
      </c>
    </row>
    <row r="421" spans="1:3" ht="15" x14ac:dyDescent="0.25">
      <c r="A421" s="2" t="s">
        <v>552</v>
      </c>
      <c r="B421" s="1">
        <v>40.340000000000003</v>
      </c>
      <c r="C421" s="1">
        <v>-75.930000000000007</v>
      </c>
    </row>
    <row r="422" spans="1:3" ht="15" x14ac:dyDescent="0.25">
      <c r="A422" s="2" t="s">
        <v>553</v>
      </c>
      <c r="B422" s="1">
        <v>34.06</v>
      </c>
      <c r="C422" s="1">
        <v>-117.18</v>
      </c>
    </row>
    <row r="423" spans="1:3" ht="15" x14ac:dyDescent="0.25">
      <c r="A423" s="2" t="s">
        <v>554</v>
      </c>
      <c r="B423" s="1">
        <v>47.67</v>
      </c>
      <c r="C423" s="1">
        <v>-122.12</v>
      </c>
    </row>
    <row r="424" spans="1:3" ht="15" x14ac:dyDescent="0.25">
      <c r="A424" s="2" t="s">
        <v>555</v>
      </c>
      <c r="B424" s="1">
        <v>33.85</v>
      </c>
      <c r="C424" s="1">
        <v>-118.39</v>
      </c>
    </row>
    <row r="425" spans="1:3" ht="15" x14ac:dyDescent="0.25">
      <c r="A425" s="2" t="s">
        <v>556</v>
      </c>
      <c r="B425" s="1">
        <v>47.48</v>
      </c>
      <c r="C425" s="1">
        <v>-122.22</v>
      </c>
    </row>
    <row r="426" spans="1:3" ht="15" x14ac:dyDescent="0.25">
      <c r="A426" s="2" t="s">
        <v>557</v>
      </c>
      <c r="B426" s="1">
        <v>38.97</v>
      </c>
      <c r="C426" s="1">
        <v>-77.34</v>
      </c>
    </row>
    <row r="427" spans="1:3" ht="15" x14ac:dyDescent="0.25">
      <c r="A427" s="2" t="s">
        <v>558</v>
      </c>
      <c r="B427" s="1">
        <v>34.11</v>
      </c>
      <c r="C427" s="1">
        <v>-117.37</v>
      </c>
    </row>
    <row r="428" spans="1:3" ht="15" x14ac:dyDescent="0.25">
      <c r="A428" s="2" t="s">
        <v>559</v>
      </c>
      <c r="B428" s="1">
        <v>27.87</v>
      </c>
      <c r="C428" s="1">
        <v>-82.33</v>
      </c>
    </row>
    <row r="429" spans="1:3" ht="15" x14ac:dyDescent="0.25">
      <c r="A429" s="2" t="s">
        <v>560</v>
      </c>
      <c r="B429" s="1">
        <v>33.950000000000003</v>
      </c>
      <c r="C429" s="1">
        <v>-117.4</v>
      </c>
    </row>
    <row r="430" spans="1:3" ht="15" x14ac:dyDescent="0.25">
      <c r="A430" s="2" t="s">
        <v>561</v>
      </c>
      <c r="B430" s="1">
        <v>39.53</v>
      </c>
      <c r="C430" s="1">
        <v>-119.81</v>
      </c>
    </row>
    <row r="431" spans="1:3" ht="15" x14ac:dyDescent="0.25">
      <c r="A431" s="2" t="s">
        <v>562</v>
      </c>
      <c r="B431" s="1">
        <v>35.229999999999997</v>
      </c>
      <c r="C431" s="1">
        <v>-106.66</v>
      </c>
    </row>
    <row r="432" spans="1:3" ht="15" x14ac:dyDescent="0.25">
      <c r="A432" s="2" t="s">
        <v>77</v>
      </c>
      <c r="B432" s="1">
        <v>32.950000000000003</v>
      </c>
      <c r="C432" s="1">
        <v>-96.73</v>
      </c>
    </row>
    <row r="433" spans="1:3" ht="15" x14ac:dyDescent="0.25">
      <c r="A433" s="2" t="s">
        <v>563</v>
      </c>
      <c r="B433" s="1">
        <v>46.29</v>
      </c>
      <c r="C433" s="1">
        <v>-119.28</v>
      </c>
    </row>
    <row r="434" spans="1:3" ht="15" x14ac:dyDescent="0.25">
      <c r="A434" s="2" t="s">
        <v>564</v>
      </c>
      <c r="B434" s="1">
        <v>37.94</v>
      </c>
      <c r="C434" s="1">
        <v>-122.35</v>
      </c>
    </row>
    <row r="435" spans="1:3" ht="15" x14ac:dyDescent="0.25">
      <c r="A435" s="2" t="s">
        <v>564</v>
      </c>
      <c r="B435" s="1">
        <v>37.549999999999997</v>
      </c>
      <c r="C435" s="1">
        <v>-77.459999999999994</v>
      </c>
    </row>
    <row r="436" spans="1:3" ht="15" x14ac:dyDescent="0.25">
      <c r="A436" s="2" t="s">
        <v>565</v>
      </c>
      <c r="B436" s="1">
        <v>37.270000000000003</v>
      </c>
      <c r="C436" s="1">
        <v>-79.94</v>
      </c>
    </row>
    <row r="437" spans="1:3" ht="15" x14ac:dyDescent="0.25">
      <c r="A437" s="2" t="s">
        <v>566</v>
      </c>
      <c r="B437" s="1">
        <v>36.33</v>
      </c>
      <c r="C437" s="1">
        <v>-94.12</v>
      </c>
    </row>
    <row r="438" spans="1:3" ht="15" x14ac:dyDescent="0.25">
      <c r="A438" s="2" t="s">
        <v>567</v>
      </c>
      <c r="B438" s="1">
        <v>38.75</v>
      </c>
      <c r="C438" s="1">
        <v>-121.29</v>
      </c>
    </row>
    <row r="439" spans="1:3" ht="15" x14ac:dyDescent="0.25">
      <c r="A439" s="2" t="s">
        <v>568</v>
      </c>
      <c r="B439" s="1">
        <v>39.08</v>
      </c>
      <c r="C439" s="1">
        <v>-77.150000000000006</v>
      </c>
    </row>
    <row r="440" spans="1:3" ht="15" x14ac:dyDescent="0.25">
      <c r="A440" s="2" t="s">
        <v>569</v>
      </c>
      <c r="B440" s="1">
        <v>35.94</v>
      </c>
      <c r="C440" s="1">
        <v>-77.790000000000006</v>
      </c>
    </row>
    <row r="441" spans="1:3" ht="15" x14ac:dyDescent="0.25">
      <c r="A441" s="2" t="s">
        <v>570</v>
      </c>
      <c r="B441" s="1">
        <v>38.79</v>
      </c>
      <c r="C441" s="1">
        <v>-121.24</v>
      </c>
    </row>
    <row r="442" spans="1:3" ht="15" x14ac:dyDescent="0.25">
      <c r="A442" s="2" t="s">
        <v>571</v>
      </c>
      <c r="B442" s="1">
        <v>42.27</v>
      </c>
      <c r="C442" s="1">
        <v>-89.09</v>
      </c>
    </row>
    <row r="443" spans="1:3" ht="15" x14ac:dyDescent="0.25">
      <c r="A443" s="2" t="s">
        <v>572</v>
      </c>
      <c r="B443" s="1">
        <v>35.770000000000003</v>
      </c>
      <c r="C443" s="1">
        <v>-78.64</v>
      </c>
    </row>
    <row r="444" spans="1:3" ht="15" x14ac:dyDescent="0.25">
      <c r="A444" s="2" t="s">
        <v>122</v>
      </c>
      <c r="B444" s="1">
        <v>44.02</v>
      </c>
      <c r="C444" s="1">
        <v>-92.47</v>
      </c>
    </row>
    <row r="445" spans="1:3" ht="15" x14ac:dyDescent="0.25">
      <c r="A445" s="2" t="s">
        <v>122</v>
      </c>
      <c r="B445" s="1">
        <v>43.15</v>
      </c>
      <c r="C445" s="1">
        <v>-77.62</v>
      </c>
    </row>
    <row r="446" spans="1:3" ht="15" x14ac:dyDescent="0.25">
      <c r="A446" s="2" t="s">
        <v>573</v>
      </c>
      <c r="B446" s="1">
        <v>32.08</v>
      </c>
      <c r="C446" s="1">
        <v>-81.099999999999994</v>
      </c>
    </row>
    <row r="447" spans="1:3" ht="15" x14ac:dyDescent="0.25">
      <c r="A447" s="2" t="s">
        <v>574</v>
      </c>
      <c r="B447" s="1">
        <v>38.58</v>
      </c>
      <c r="C447" s="1">
        <v>-121.49</v>
      </c>
    </row>
    <row r="448" spans="1:3" ht="15" x14ac:dyDescent="0.25">
      <c r="A448" s="2" t="s">
        <v>575</v>
      </c>
      <c r="B448" s="1">
        <v>36.68</v>
      </c>
      <c r="C448" s="1">
        <v>-121.66</v>
      </c>
    </row>
    <row r="449" spans="1:3" ht="15" x14ac:dyDescent="0.25">
      <c r="A449" s="2" t="s">
        <v>576</v>
      </c>
      <c r="B449" s="1">
        <v>37.72</v>
      </c>
      <c r="C449" s="1">
        <v>-122.16</v>
      </c>
    </row>
    <row r="450" spans="1:3" ht="15" x14ac:dyDescent="0.25">
      <c r="A450" s="2" t="s">
        <v>577</v>
      </c>
      <c r="B450" s="1">
        <v>31.46</v>
      </c>
      <c r="C450" s="1">
        <v>-100.44</v>
      </c>
    </row>
    <row r="451" spans="1:3" ht="15" x14ac:dyDescent="0.25">
      <c r="A451" s="2" t="s">
        <v>578</v>
      </c>
      <c r="B451" s="1">
        <v>29.42</v>
      </c>
      <c r="C451" s="1">
        <v>-98.49</v>
      </c>
    </row>
    <row r="452" spans="1:3" ht="15" x14ac:dyDescent="0.25">
      <c r="A452" s="2" t="s">
        <v>579</v>
      </c>
      <c r="B452" s="1">
        <v>34.11</v>
      </c>
      <c r="C452" s="1">
        <v>-117.29</v>
      </c>
    </row>
    <row r="453" spans="1:3" ht="15" x14ac:dyDescent="0.25">
      <c r="A453" s="2" t="s">
        <v>580</v>
      </c>
      <c r="B453" s="1">
        <v>32.72</v>
      </c>
      <c r="C453" s="1">
        <v>-117.17</v>
      </c>
    </row>
    <row r="454" spans="1:3" ht="15" x14ac:dyDescent="0.25">
      <c r="A454" s="2" t="s">
        <v>581</v>
      </c>
      <c r="B454" s="1">
        <v>33.43</v>
      </c>
      <c r="C454" s="1">
        <v>-117.61</v>
      </c>
    </row>
    <row r="455" spans="1:3" ht="15" x14ac:dyDescent="0.25">
      <c r="A455" s="2" t="s">
        <v>582</v>
      </c>
      <c r="B455" s="1">
        <v>33.14</v>
      </c>
      <c r="C455" s="1">
        <v>-117.17</v>
      </c>
    </row>
    <row r="456" spans="1:3" ht="15" x14ac:dyDescent="0.25">
      <c r="A456" s="2" t="s">
        <v>582</v>
      </c>
      <c r="B456" s="1">
        <v>29.88</v>
      </c>
      <c r="C456" s="1">
        <v>-97.94</v>
      </c>
    </row>
    <row r="457" spans="1:3" ht="15" x14ac:dyDescent="0.25">
      <c r="A457" s="2" t="s">
        <v>583</v>
      </c>
      <c r="B457" s="1">
        <v>37.56</v>
      </c>
      <c r="C457" s="1">
        <v>-122.33</v>
      </c>
    </row>
    <row r="458" spans="1:3" ht="15" x14ac:dyDescent="0.25">
      <c r="A458" s="2" t="s">
        <v>584</v>
      </c>
      <c r="B458" s="1">
        <v>37.78</v>
      </c>
      <c r="C458" s="1">
        <v>-121.98</v>
      </c>
    </row>
    <row r="459" spans="1:3" ht="15" x14ac:dyDescent="0.25">
      <c r="A459" s="2" t="s">
        <v>585</v>
      </c>
      <c r="B459" s="1">
        <v>37.97</v>
      </c>
      <c r="C459" s="1">
        <v>-122.53</v>
      </c>
    </row>
    <row r="460" spans="1:3" ht="15" x14ac:dyDescent="0.25">
      <c r="A460" s="2" t="s">
        <v>102</v>
      </c>
      <c r="B460" s="1">
        <v>37.770000000000003</v>
      </c>
      <c r="C460" s="1">
        <v>-122.42</v>
      </c>
    </row>
    <row r="461" spans="1:3" ht="15" x14ac:dyDescent="0.25">
      <c r="A461" s="2" t="s">
        <v>586</v>
      </c>
      <c r="B461" s="1">
        <v>37.340000000000003</v>
      </c>
      <c r="C461" s="1">
        <v>-121.9</v>
      </c>
    </row>
    <row r="462" spans="1:3" ht="15" x14ac:dyDescent="0.25">
      <c r="A462" s="2" t="s">
        <v>587</v>
      </c>
      <c r="B462" s="1">
        <v>33.92</v>
      </c>
      <c r="C462" s="1">
        <v>-84.38</v>
      </c>
    </row>
    <row r="463" spans="1:3" ht="15" x14ac:dyDescent="0.25">
      <c r="A463" s="2" t="s">
        <v>588</v>
      </c>
      <c r="B463" s="1">
        <v>37.369999999999997</v>
      </c>
      <c r="C463" s="1">
        <v>-122.04</v>
      </c>
    </row>
    <row r="464" spans="1:3" ht="15" x14ac:dyDescent="0.25">
      <c r="A464" s="2" t="s">
        <v>589</v>
      </c>
      <c r="B464" s="1">
        <v>36.21</v>
      </c>
      <c r="C464" s="1">
        <v>-115.07</v>
      </c>
    </row>
    <row r="465" spans="1:3" ht="15" x14ac:dyDescent="0.25">
      <c r="A465" s="2" t="s">
        <v>590</v>
      </c>
      <c r="B465" s="1">
        <v>33.75</v>
      </c>
      <c r="C465" s="1">
        <v>-117.87</v>
      </c>
    </row>
    <row r="466" spans="1:3" ht="15" x14ac:dyDescent="0.25">
      <c r="A466" s="2" t="s">
        <v>591</v>
      </c>
      <c r="B466" s="1">
        <v>34.42</v>
      </c>
      <c r="C466" s="1">
        <v>-119.7</v>
      </c>
    </row>
    <row r="467" spans="1:3" ht="15" x14ac:dyDescent="0.25">
      <c r="A467" s="2" t="s">
        <v>592</v>
      </c>
      <c r="B467" s="1">
        <v>37.35</v>
      </c>
      <c r="C467" s="1">
        <v>-121.96</v>
      </c>
    </row>
    <row r="468" spans="1:3" ht="15" x14ac:dyDescent="0.25">
      <c r="A468" s="2" t="s">
        <v>593</v>
      </c>
      <c r="B468" s="1">
        <v>34.39</v>
      </c>
      <c r="C468" s="1">
        <v>-118.54</v>
      </c>
    </row>
    <row r="469" spans="1:3" ht="15" x14ac:dyDescent="0.25">
      <c r="A469" s="2" t="s">
        <v>594</v>
      </c>
      <c r="B469" s="1">
        <v>36.97</v>
      </c>
      <c r="C469" s="1">
        <v>-122.03</v>
      </c>
    </row>
    <row r="470" spans="1:3" ht="15" x14ac:dyDescent="0.25">
      <c r="A470" s="2" t="s">
        <v>595</v>
      </c>
      <c r="B470" s="1">
        <v>34.950000000000003</v>
      </c>
      <c r="C470" s="1">
        <v>-120.44</v>
      </c>
    </row>
    <row r="471" spans="1:3" ht="15" x14ac:dyDescent="0.25">
      <c r="A471" s="2" t="s">
        <v>596</v>
      </c>
      <c r="B471" s="1">
        <v>34.020000000000003</v>
      </c>
      <c r="C471" s="1">
        <v>-118.49</v>
      </c>
    </row>
    <row r="472" spans="1:3" ht="15" x14ac:dyDescent="0.25">
      <c r="A472" s="2" t="s">
        <v>597</v>
      </c>
      <c r="B472" s="1">
        <v>38.44</v>
      </c>
      <c r="C472" s="1">
        <v>-122.71</v>
      </c>
    </row>
    <row r="473" spans="1:3" ht="15" x14ac:dyDescent="0.25">
      <c r="A473" s="2" t="s">
        <v>598</v>
      </c>
      <c r="B473" s="1">
        <v>35.69</v>
      </c>
      <c r="C473" s="1">
        <v>-105.94</v>
      </c>
    </row>
    <row r="474" spans="1:3" ht="15" x14ac:dyDescent="0.25">
      <c r="A474" s="2" t="s">
        <v>599</v>
      </c>
      <c r="B474" s="1">
        <v>32.840000000000003</v>
      </c>
      <c r="C474" s="1">
        <v>-116.97</v>
      </c>
    </row>
    <row r="475" spans="1:3" ht="15" x14ac:dyDescent="0.25">
      <c r="A475" s="2" t="s">
        <v>600</v>
      </c>
      <c r="B475" s="1">
        <v>27.34</v>
      </c>
      <c r="C475" s="1">
        <v>-82.53</v>
      </c>
    </row>
    <row r="476" spans="1:3" ht="15" x14ac:dyDescent="0.25">
      <c r="A476" s="2" t="s">
        <v>601</v>
      </c>
      <c r="B476" s="1">
        <v>41.68</v>
      </c>
      <c r="C476" s="1">
        <v>-86.25</v>
      </c>
    </row>
    <row r="477" spans="1:3" ht="15" x14ac:dyDescent="0.25">
      <c r="A477" s="2" t="s">
        <v>602</v>
      </c>
      <c r="B477" s="1">
        <v>40.56</v>
      </c>
      <c r="C477" s="1">
        <v>-111.93</v>
      </c>
    </row>
    <row r="478" spans="1:3" ht="15" x14ac:dyDescent="0.25">
      <c r="A478" s="2" t="s">
        <v>603</v>
      </c>
      <c r="B478" s="1">
        <v>36.729999999999997</v>
      </c>
      <c r="C478" s="1">
        <v>-76.59</v>
      </c>
    </row>
    <row r="479" spans="1:3" ht="15" x14ac:dyDescent="0.25">
      <c r="A479" s="2" t="s">
        <v>604</v>
      </c>
      <c r="B479" s="1">
        <v>44.94</v>
      </c>
      <c r="C479" s="1">
        <v>-123.04</v>
      </c>
    </row>
    <row r="480" spans="1:3" ht="15" x14ac:dyDescent="0.25">
      <c r="A480" s="2" t="s">
        <v>605</v>
      </c>
      <c r="B480" s="1">
        <v>38.799999999999997</v>
      </c>
      <c r="C480" s="1">
        <v>-90.63</v>
      </c>
    </row>
    <row r="481" spans="1:3" ht="15" x14ac:dyDescent="0.25">
      <c r="A481" s="2" t="s">
        <v>606</v>
      </c>
      <c r="B481" s="1">
        <v>39.770000000000003</v>
      </c>
      <c r="C481" s="1">
        <v>-94.85</v>
      </c>
    </row>
    <row r="482" spans="1:3" ht="15" x14ac:dyDescent="0.25">
      <c r="A482" s="2" t="s">
        <v>607</v>
      </c>
      <c r="B482" s="1">
        <v>38.630000000000003</v>
      </c>
      <c r="C482" s="1">
        <v>-90.2</v>
      </c>
    </row>
    <row r="483" spans="1:3" ht="15" x14ac:dyDescent="0.25">
      <c r="A483" s="2" t="s">
        <v>608</v>
      </c>
      <c r="B483" s="1">
        <v>44.94</v>
      </c>
      <c r="C483" s="1">
        <v>-93.09</v>
      </c>
    </row>
    <row r="484" spans="1:3" ht="15" x14ac:dyDescent="0.25">
      <c r="A484" s="2" t="s">
        <v>609</v>
      </c>
      <c r="B484" s="1">
        <v>38.78</v>
      </c>
      <c r="C484" s="1">
        <v>-90.48</v>
      </c>
    </row>
    <row r="485" spans="1:3" ht="15" x14ac:dyDescent="0.25">
      <c r="A485" s="2" t="s">
        <v>610</v>
      </c>
      <c r="B485" s="1">
        <v>39.58</v>
      </c>
      <c r="C485" s="1">
        <v>-104.88</v>
      </c>
    </row>
    <row r="486" spans="1:3" ht="15" x14ac:dyDescent="0.25">
      <c r="A486" s="2" t="s">
        <v>611</v>
      </c>
      <c r="B486" s="1">
        <v>42.01</v>
      </c>
      <c r="C486" s="1">
        <v>-91.64</v>
      </c>
    </row>
    <row r="487" spans="1:3" ht="15" x14ac:dyDescent="0.25">
      <c r="A487" s="2" t="s">
        <v>612</v>
      </c>
      <c r="B487" s="1">
        <v>38.99</v>
      </c>
      <c r="C487" s="1">
        <v>-77.03</v>
      </c>
    </row>
    <row r="488" spans="1:3" ht="15" x14ac:dyDescent="0.25">
      <c r="A488" s="2" t="s">
        <v>613</v>
      </c>
      <c r="B488" s="1">
        <v>34.270000000000003</v>
      </c>
      <c r="C488" s="1">
        <v>-118.78</v>
      </c>
    </row>
    <row r="489" spans="1:3" ht="15" x14ac:dyDescent="0.25">
      <c r="A489" s="2" t="s">
        <v>614</v>
      </c>
      <c r="B489" s="1">
        <v>43.05</v>
      </c>
      <c r="C489" s="1">
        <v>-76.150000000000006</v>
      </c>
    </row>
    <row r="490" spans="1:3" ht="15" x14ac:dyDescent="0.25">
      <c r="A490" s="2" t="s">
        <v>127</v>
      </c>
      <c r="B490" s="1">
        <v>47.61</v>
      </c>
      <c r="C490" s="1">
        <v>-122.33</v>
      </c>
    </row>
    <row r="491" spans="1:3" ht="15" x14ac:dyDescent="0.25">
      <c r="A491" s="2" t="s">
        <v>615</v>
      </c>
      <c r="B491" s="1">
        <v>42.81</v>
      </c>
      <c r="C491" s="1">
        <v>-73.94</v>
      </c>
    </row>
    <row r="492" spans="1:3" ht="15" x14ac:dyDescent="0.25">
      <c r="A492" s="2" t="s">
        <v>616</v>
      </c>
      <c r="B492" s="1">
        <v>42.03</v>
      </c>
      <c r="C492" s="1">
        <v>-87.73</v>
      </c>
    </row>
    <row r="493" spans="1:3" ht="15" x14ac:dyDescent="0.25">
      <c r="A493" s="2" t="s">
        <v>617</v>
      </c>
      <c r="B493" s="1">
        <v>33.51</v>
      </c>
      <c r="C493" s="1">
        <v>-111.9</v>
      </c>
    </row>
    <row r="494" spans="1:3" ht="15" x14ac:dyDescent="0.25">
      <c r="A494" s="2" t="s">
        <v>618</v>
      </c>
      <c r="B494" s="1">
        <v>41.41</v>
      </c>
      <c r="C494" s="1">
        <v>-75.66</v>
      </c>
    </row>
    <row r="495" spans="1:3" ht="15" x14ac:dyDescent="0.25">
      <c r="A495" s="2" t="s">
        <v>619</v>
      </c>
      <c r="B495" s="1">
        <v>33.880000000000003</v>
      </c>
      <c r="C495" s="1">
        <v>-84.51</v>
      </c>
    </row>
    <row r="496" spans="1:3" ht="15" x14ac:dyDescent="0.25">
      <c r="A496" s="2" t="s">
        <v>620</v>
      </c>
      <c r="B496" s="1">
        <v>40.76</v>
      </c>
      <c r="C496" s="1">
        <v>-111.89</v>
      </c>
    </row>
    <row r="497" spans="1:3" ht="15" x14ac:dyDescent="0.25">
      <c r="A497" s="2" t="s">
        <v>621</v>
      </c>
      <c r="B497" s="1">
        <v>42.39</v>
      </c>
      <c r="C497" s="1">
        <v>-71.099999999999994</v>
      </c>
    </row>
    <row r="498" spans="1:3" ht="15" x14ac:dyDescent="0.25">
      <c r="A498" s="2" t="s">
        <v>622</v>
      </c>
      <c r="B498" s="1">
        <v>32.590000000000003</v>
      </c>
      <c r="C498" s="1">
        <v>-96.86</v>
      </c>
    </row>
    <row r="499" spans="1:3" ht="15" x14ac:dyDescent="0.25">
      <c r="A499" s="2" t="s">
        <v>623</v>
      </c>
      <c r="B499" s="1">
        <v>39.53</v>
      </c>
      <c r="C499" s="1">
        <v>-119.75</v>
      </c>
    </row>
    <row r="500" spans="1:3" ht="15" x14ac:dyDescent="0.25">
      <c r="A500" s="2" t="s">
        <v>624</v>
      </c>
      <c r="B500" s="1">
        <v>47.66</v>
      </c>
      <c r="C500" s="1">
        <v>-117.43</v>
      </c>
    </row>
    <row r="501" spans="1:3" ht="15" x14ac:dyDescent="0.25">
      <c r="A501" s="2" t="s">
        <v>625</v>
      </c>
      <c r="B501" s="1">
        <v>36.11</v>
      </c>
      <c r="C501" s="1">
        <v>-115.25</v>
      </c>
    </row>
    <row r="502" spans="1:3" ht="15" x14ac:dyDescent="0.25">
      <c r="A502" s="2" t="s">
        <v>626</v>
      </c>
      <c r="B502" s="1">
        <v>28.48</v>
      </c>
      <c r="C502" s="1">
        <v>-82.53</v>
      </c>
    </row>
    <row r="503" spans="1:3" ht="15" x14ac:dyDescent="0.25">
      <c r="A503" s="2" t="s">
        <v>627</v>
      </c>
      <c r="B503" s="1">
        <v>36.19</v>
      </c>
      <c r="C503" s="1">
        <v>-94.13</v>
      </c>
    </row>
    <row r="504" spans="1:3" ht="15" x14ac:dyDescent="0.25">
      <c r="A504" s="2" t="s">
        <v>83</v>
      </c>
      <c r="B504" s="1">
        <v>44.05</v>
      </c>
      <c r="C504" s="1">
        <v>-123.02</v>
      </c>
    </row>
    <row r="505" spans="1:3" ht="15" x14ac:dyDescent="0.25">
      <c r="A505" s="2" t="s">
        <v>83</v>
      </c>
      <c r="B505" s="1">
        <v>42.1</v>
      </c>
      <c r="C505" s="1">
        <v>-72.59</v>
      </c>
    </row>
    <row r="506" spans="1:3" ht="15" x14ac:dyDescent="0.25">
      <c r="A506" s="2" t="s">
        <v>83</v>
      </c>
      <c r="B506" s="1">
        <v>39.799999999999997</v>
      </c>
      <c r="C506" s="1">
        <v>-89.64</v>
      </c>
    </row>
    <row r="507" spans="1:3" ht="15" x14ac:dyDescent="0.25">
      <c r="A507" s="2" t="s">
        <v>83</v>
      </c>
      <c r="B507" s="1">
        <v>39.92</v>
      </c>
      <c r="C507" s="1">
        <v>-83.81</v>
      </c>
    </row>
    <row r="508" spans="1:3" ht="15" x14ac:dyDescent="0.25">
      <c r="A508" s="2" t="s">
        <v>83</v>
      </c>
      <c r="B508" s="1">
        <v>37.22</v>
      </c>
      <c r="C508" s="1">
        <v>-93.3</v>
      </c>
    </row>
    <row r="509" spans="1:3" ht="15" x14ac:dyDescent="0.25">
      <c r="A509" s="2" t="s">
        <v>628</v>
      </c>
      <c r="B509" s="1">
        <v>41.05</v>
      </c>
      <c r="C509" s="1">
        <v>-73.540000000000006</v>
      </c>
    </row>
    <row r="510" spans="1:3" ht="15" x14ac:dyDescent="0.25">
      <c r="A510" s="2" t="s">
        <v>629</v>
      </c>
      <c r="B510" s="1">
        <v>42.58</v>
      </c>
      <c r="C510" s="1">
        <v>-83.03</v>
      </c>
    </row>
    <row r="511" spans="1:3" ht="15" x14ac:dyDescent="0.25">
      <c r="A511" s="2" t="s">
        <v>630</v>
      </c>
      <c r="B511" s="1">
        <v>37.96</v>
      </c>
      <c r="C511" s="1">
        <v>-121.29</v>
      </c>
    </row>
    <row r="512" spans="1:3" ht="15" x14ac:dyDescent="0.25">
      <c r="A512" s="2" t="s">
        <v>631</v>
      </c>
      <c r="B512" s="1">
        <v>41.18</v>
      </c>
      <c r="C512" s="1">
        <v>-73.13</v>
      </c>
    </row>
    <row r="513" spans="1:3" ht="15" x14ac:dyDescent="0.25">
      <c r="A513" s="2" t="s">
        <v>632</v>
      </c>
      <c r="B513" s="1">
        <v>42.5</v>
      </c>
      <c r="C513" s="1">
        <v>-96.4</v>
      </c>
    </row>
    <row r="514" spans="1:3" ht="15" x14ac:dyDescent="0.25">
      <c r="A514" s="2" t="s">
        <v>633</v>
      </c>
      <c r="B514" s="1">
        <v>43.55</v>
      </c>
      <c r="C514" s="1">
        <v>-96.7</v>
      </c>
    </row>
    <row r="515" spans="1:3" ht="15" x14ac:dyDescent="0.25">
      <c r="A515" s="2" t="s">
        <v>634</v>
      </c>
      <c r="B515" s="1">
        <v>33.630000000000003</v>
      </c>
      <c r="C515" s="1">
        <v>-112.33</v>
      </c>
    </row>
    <row r="516" spans="1:3" ht="15" x14ac:dyDescent="0.25">
      <c r="A516" s="2" t="s">
        <v>635</v>
      </c>
      <c r="B516" s="1">
        <v>32.35</v>
      </c>
      <c r="C516" s="1">
        <v>-95.3</v>
      </c>
    </row>
    <row r="517" spans="1:3" ht="15" x14ac:dyDescent="0.25">
      <c r="A517" s="2" t="s">
        <v>636</v>
      </c>
      <c r="B517" s="1">
        <v>47.25</v>
      </c>
      <c r="C517" s="1">
        <v>-122.44</v>
      </c>
    </row>
    <row r="518" spans="1:3" ht="15" x14ac:dyDescent="0.25">
      <c r="A518" s="2" t="s">
        <v>637</v>
      </c>
      <c r="B518" s="1">
        <v>30.44</v>
      </c>
      <c r="C518" s="1">
        <v>-84.28</v>
      </c>
    </row>
    <row r="519" spans="1:3" ht="15" x14ac:dyDescent="0.25">
      <c r="A519" s="2" t="s">
        <v>638</v>
      </c>
      <c r="B519" s="1">
        <v>36.15</v>
      </c>
      <c r="C519" s="1">
        <v>-95.99</v>
      </c>
    </row>
    <row r="520" spans="1:3" ht="15" x14ac:dyDescent="0.25">
      <c r="A520" s="2" t="s">
        <v>639</v>
      </c>
      <c r="B520" s="1">
        <v>27.95</v>
      </c>
      <c r="C520" s="1">
        <v>-82.46</v>
      </c>
    </row>
    <row r="521" spans="1:3" ht="15" x14ac:dyDescent="0.25">
      <c r="A521" s="2" t="s">
        <v>640</v>
      </c>
      <c r="B521" s="1">
        <v>33.21</v>
      </c>
      <c r="C521" s="1">
        <v>-87.57</v>
      </c>
    </row>
    <row r="522" spans="1:3" ht="15" x14ac:dyDescent="0.25">
      <c r="A522" s="2" t="s">
        <v>641</v>
      </c>
      <c r="B522" s="1">
        <v>34.17</v>
      </c>
      <c r="C522" s="1">
        <v>-118.84</v>
      </c>
    </row>
    <row r="523" spans="1:3" ht="15" x14ac:dyDescent="0.25">
      <c r="A523" s="2" t="s">
        <v>642</v>
      </c>
      <c r="B523" s="1">
        <v>28.93</v>
      </c>
      <c r="C523" s="1">
        <v>-81.96</v>
      </c>
    </row>
    <row r="524" spans="1:3" ht="15" x14ac:dyDescent="0.25">
      <c r="A524" s="2" t="s">
        <v>643</v>
      </c>
      <c r="B524" s="1">
        <v>42.24</v>
      </c>
      <c r="C524" s="1">
        <v>-83.27</v>
      </c>
    </row>
    <row r="525" spans="1:3" ht="15" x14ac:dyDescent="0.25">
      <c r="A525" s="2" t="s">
        <v>644</v>
      </c>
      <c r="B525" s="1">
        <v>40.67</v>
      </c>
      <c r="C525" s="1">
        <v>-111.94</v>
      </c>
    </row>
    <row r="526" spans="1:3" ht="15" x14ac:dyDescent="0.25">
      <c r="A526" s="2" t="s">
        <v>645</v>
      </c>
      <c r="B526" s="1">
        <v>33.49</v>
      </c>
      <c r="C526" s="1">
        <v>-117.15</v>
      </c>
    </row>
    <row r="527" spans="1:3" ht="15" x14ac:dyDescent="0.25">
      <c r="A527" s="2" t="s">
        <v>646</v>
      </c>
      <c r="B527" s="1">
        <v>33.409999999999997</v>
      </c>
      <c r="C527" s="1">
        <v>-111.91</v>
      </c>
    </row>
    <row r="528" spans="1:3" ht="15" x14ac:dyDescent="0.25">
      <c r="A528" s="2" t="s">
        <v>647</v>
      </c>
      <c r="B528" s="1">
        <v>39.47</v>
      </c>
      <c r="C528" s="1">
        <v>-87.41</v>
      </c>
    </row>
    <row r="529" spans="1:3" ht="15" x14ac:dyDescent="0.25">
      <c r="A529" s="2" t="s">
        <v>648</v>
      </c>
      <c r="B529" s="1">
        <v>41.66</v>
      </c>
      <c r="C529" s="1">
        <v>-83.56</v>
      </c>
    </row>
    <row r="530" spans="1:3" ht="15" x14ac:dyDescent="0.25">
      <c r="A530" s="2" t="s">
        <v>649</v>
      </c>
      <c r="B530" s="1">
        <v>41.9</v>
      </c>
      <c r="C530" s="1">
        <v>-71.09</v>
      </c>
    </row>
    <row r="531" spans="1:3" ht="15" x14ac:dyDescent="0.25">
      <c r="A531" s="2" t="s">
        <v>650</v>
      </c>
      <c r="B531" s="1">
        <v>39.049999999999997</v>
      </c>
      <c r="C531" s="1">
        <v>-95.68</v>
      </c>
    </row>
    <row r="532" spans="1:3" ht="15" x14ac:dyDescent="0.25">
      <c r="A532" s="2" t="s">
        <v>651</v>
      </c>
      <c r="B532" s="1">
        <v>39.869999999999997</v>
      </c>
      <c r="C532" s="1">
        <v>-104.97</v>
      </c>
    </row>
    <row r="533" spans="1:3" ht="15" x14ac:dyDescent="0.25">
      <c r="A533" s="2" t="s">
        <v>652</v>
      </c>
      <c r="B533" s="1">
        <v>33.840000000000003</v>
      </c>
      <c r="C533" s="1">
        <v>-118.34</v>
      </c>
    </row>
    <row r="534" spans="1:3" ht="15" x14ac:dyDescent="0.25">
      <c r="A534" s="2" t="s">
        <v>653</v>
      </c>
      <c r="B534" s="1">
        <v>37.74</v>
      </c>
      <c r="C534" s="1">
        <v>-121.43</v>
      </c>
    </row>
    <row r="535" spans="1:3" ht="15" x14ac:dyDescent="0.25">
      <c r="A535" s="2" t="s">
        <v>654</v>
      </c>
      <c r="B535" s="1">
        <v>40.22</v>
      </c>
      <c r="C535" s="1">
        <v>-74.739999999999995</v>
      </c>
    </row>
    <row r="536" spans="1:3" ht="15" x14ac:dyDescent="0.25">
      <c r="A536" s="2" t="s">
        <v>45</v>
      </c>
      <c r="B536" s="1">
        <v>42.61</v>
      </c>
      <c r="C536" s="1">
        <v>-83.15</v>
      </c>
    </row>
    <row r="537" spans="1:3" ht="15" x14ac:dyDescent="0.25">
      <c r="A537" s="2" t="s">
        <v>655</v>
      </c>
      <c r="B537" s="1">
        <v>36.21</v>
      </c>
      <c r="C537" s="1">
        <v>-119.35</v>
      </c>
    </row>
    <row r="538" spans="1:3" ht="15" x14ac:dyDescent="0.25">
      <c r="A538" s="2" t="s">
        <v>656</v>
      </c>
      <c r="B538" s="1">
        <v>32.22</v>
      </c>
      <c r="C538" s="1">
        <v>-110.93</v>
      </c>
    </row>
    <row r="539" spans="1:3" ht="15" x14ac:dyDescent="0.25">
      <c r="A539" s="2" t="s">
        <v>657</v>
      </c>
      <c r="B539" s="1">
        <v>41.03</v>
      </c>
      <c r="C539" s="1">
        <v>-73.760000000000005</v>
      </c>
    </row>
    <row r="540" spans="1:3" ht="15" x14ac:dyDescent="0.25">
      <c r="A540" s="2" t="s">
        <v>658</v>
      </c>
      <c r="B540" s="1">
        <v>39.75</v>
      </c>
      <c r="C540" s="1">
        <v>-75.55</v>
      </c>
    </row>
    <row r="541" spans="1:3" ht="15" x14ac:dyDescent="0.25">
      <c r="A541" s="2" t="s">
        <v>658</v>
      </c>
      <c r="B541" s="1">
        <v>34.229999999999997</v>
      </c>
      <c r="C541" s="1">
        <v>-77.94</v>
      </c>
    </row>
    <row r="542" spans="1:3" ht="15" x14ac:dyDescent="0.25">
      <c r="A542" s="2" t="s">
        <v>659</v>
      </c>
      <c r="B542" s="1">
        <v>36.1</v>
      </c>
      <c r="C542" s="1">
        <v>-80.239999999999995</v>
      </c>
    </row>
    <row r="543" spans="1:3" ht="15" x14ac:dyDescent="0.25">
      <c r="A543" s="2" t="s">
        <v>660</v>
      </c>
      <c r="B543" s="1">
        <v>41.87</v>
      </c>
      <c r="C543" s="1">
        <v>-88.11</v>
      </c>
    </row>
    <row r="544" spans="1:3" ht="15" x14ac:dyDescent="0.25">
      <c r="A544" s="2" t="s">
        <v>661</v>
      </c>
      <c r="B544" s="1">
        <v>37.69</v>
      </c>
      <c r="C544" s="1">
        <v>-97.34</v>
      </c>
    </row>
    <row r="545" spans="1:3" ht="15" x14ac:dyDescent="0.25">
      <c r="A545" s="2" t="s">
        <v>662</v>
      </c>
      <c r="B545" s="1">
        <v>33.909999999999997</v>
      </c>
      <c r="C545" s="1">
        <v>-98.49</v>
      </c>
    </row>
    <row r="546" spans="1:3" ht="15" x14ac:dyDescent="0.25">
      <c r="A546" s="2" t="s">
        <v>663</v>
      </c>
      <c r="B546" s="1">
        <v>42.36</v>
      </c>
      <c r="C546" s="1">
        <v>-87.84</v>
      </c>
    </row>
    <row r="547" spans="1:3" ht="15" x14ac:dyDescent="0.25">
      <c r="A547" s="2" t="s">
        <v>664</v>
      </c>
      <c r="B547" s="1">
        <v>43.01</v>
      </c>
      <c r="C547" s="1">
        <v>-88.23</v>
      </c>
    </row>
    <row r="548" spans="1:3" ht="15" x14ac:dyDescent="0.25">
      <c r="A548" s="2" t="s">
        <v>665</v>
      </c>
      <c r="B548" s="1">
        <v>37.909999999999997</v>
      </c>
      <c r="C548" s="1">
        <v>-122.07</v>
      </c>
    </row>
    <row r="549" spans="1:3" ht="15" x14ac:dyDescent="0.25">
      <c r="A549" s="2" t="s">
        <v>666</v>
      </c>
      <c r="B549" s="1">
        <v>42.38</v>
      </c>
      <c r="C549" s="1">
        <v>-71.239999999999995</v>
      </c>
    </row>
    <row r="550" spans="1:3" ht="15" x14ac:dyDescent="0.25">
      <c r="A550" s="2" t="s">
        <v>667</v>
      </c>
      <c r="B550" s="1">
        <v>41.7</v>
      </c>
      <c r="C550" s="1">
        <v>-71.42</v>
      </c>
    </row>
    <row r="551" spans="1:3" ht="15" x14ac:dyDescent="0.25">
      <c r="A551" s="2" t="s">
        <v>668</v>
      </c>
      <c r="B551" s="1">
        <v>32.619999999999997</v>
      </c>
      <c r="C551" s="1">
        <v>-83.63</v>
      </c>
    </row>
    <row r="552" spans="1:3" ht="15" x14ac:dyDescent="0.25">
      <c r="A552" s="2" t="s">
        <v>669</v>
      </c>
      <c r="B552" s="1">
        <v>42.49</v>
      </c>
      <c r="C552" s="1">
        <v>-83.01</v>
      </c>
    </row>
    <row r="553" spans="1:3" ht="15" x14ac:dyDescent="0.25">
      <c r="A553" s="2" t="s">
        <v>670</v>
      </c>
      <c r="B553" s="1">
        <v>41.56</v>
      </c>
      <c r="C553" s="1">
        <v>-73.05</v>
      </c>
    </row>
    <row r="554" spans="1:3" ht="15" x14ac:dyDescent="0.25">
      <c r="A554" s="2" t="s">
        <v>113</v>
      </c>
      <c r="B554" s="1">
        <v>42.69</v>
      </c>
      <c r="C554" s="1">
        <v>-83.41</v>
      </c>
    </row>
    <row r="555" spans="1:3" ht="15" x14ac:dyDescent="0.25">
      <c r="A555" s="2" t="s">
        <v>671</v>
      </c>
      <c r="B555" s="1">
        <v>31.55</v>
      </c>
      <c r="C555" s="1">
        <v>-97.15</v>
      </c>
    </row>
    <row r="556" spans="1:3" ht="15" x14ac:dyDescent="0.25">
      <c r="A556" s="2" t="s">
        <v>672</v>
      </c>
      <c r="B556" s="1">
        <v>40.69</v>
      </c>
      <c r="C556" s="1">
        <v>-112</v>
      </c>
    </row>
    <row r="557" spans="1:3" ht="15" x14ac:dyDescent="0.25">
      <c r="A557" s="2" t="s">
        <v>130</v>
      </c>
      <c r="B557" s="1">
        <v>40.61</v>
      </c>
      <c r="C557" s="1">
        <v>-111.94</v>
      </c>
    </row>
    <row r="558" spans="1:3" ht="15" x14ac:dyDescent="0.25">
      <c r="A558" s="2" t="s">
        <v>673</v>
      </c>
      <c r="B558" s="1">
        <v>34.07</v>
      </c>
      <c r="C558" s="1">
        <v>-117.94</v>
      </c>
    </row>
    <row r="559" spans="1:3" ht="15" x14ac:dyDescent="0.25">
      <c r="A559" s="2" t="s">
        <v>674</v>
      </c>
      <c r="B559" s="1">
        <v>26.72</v>
      </c>
      <c r="C559" s="1">
        <v>-80.05</v>
      </c>
    </row>
    <row r="560" spans="1:3" ht="15" x14ac:dyDescent="0.25">
      <c r="A560" s="2" t="s">
        <v>675</v>
      </c>
      <c r="B560" s="1">
        <v>41.27</v>
      </c>
      <c r="C560" s="1">
        <v>-72.95</v>
      </c>
    </row>
    <row r="561" spans="1:3" ht="15" x14ac:dyDescent="0.25">
      <c r="A561" s="2" t="s">
        <v>676</v>
      </c>
      <c r="B561" s="3">
        <v>44587</v>
      </c>
      <c r="C561" s="1">
        <v>-80.400000000000006</v>
      </c>
    </row>
    <row r="562" spans="1:3" ht="15" x14ac:dyDescent="0.25">
      <c r="A562" s="2" t="s">
        <v>677</v>
      </c>
      <c r="B562" s="1">
        <v>46.88</v>
      </c>
      <c r="C562" s="1">
        <v>-96.79</v>
      </c>
    </row>
    <row r="563" spans="1:3" ht="15" x14ac:dyDescent="0.25">
      <c r="A563" s="2" t="s">
        <v>678</v>
      </c>
      <c r="B563" s="1">
        <v>26.19</v>
      </c>
      <c r="C563" s="1">
        <v>-98.18</v>
      </c>
    </row>
    <row r="564" spans="1:3" ht="15" x14ac:dyDescent="0.25">
      <c r="A564" s="2" t="s">
        <v>679</v>
      </c>
      <c r="B564" s="1">
        <v>36.06</v>
      </c>
      <c r="C564" s="1">
        <v>-94.16</v>
      </c>
    </row>
    <row r="565" spans="1:3" ht="15" x14ac:dyDescent="0.25">
      <c r="A565" s="2" t="s">
        <v>679</v>
      </c>
      <c r="B565" s="1">
        <v>35.049999999999997</v>
      </c>
      <c r="C565" s="1">
        <v>-78.88</v>
      </c>
    </row>
    <row r="566" spans="1:3" ht="15" x14ac:dyDescent="0.25">
      <c r="A566" s="2" t="s">
        <v>150</v>
      </c>
      <c r="B566" s="1">
        <v>39.950000000000003</v>
      </c>
      <c r="C566" s="1">
        <v>-75.16</v>
      </c>
    </row>
    <row r="567" spans="1:3" ht="15" x14ac:dyDescent="0.25">
      <c r="A567" s="2" t="s">
        <v>680</v>
      </c>
      <c r="B567" s="1">
        <v>33.450000000000003</v>
      </c>
      <c r="C567" s="1">
        <v>-112.07</v>
      </c>
    </row>
    <row r="568" spans="1:3" ht="15" x14ac:dyDescent="0.25">
      <c r="A568" s="2" t="s">
        <v>681</v>
      </c>
      <c r="B568" s="1">
        <v>35.200000000000003</v>
      </c>
      <c r="C568" s="1">
        <v>-111.65</v>
      </c>
    </row>
    <row r="569" spans="1:3" ht="15" x14ac:dyDescent="0.25">
      <c r="A569" s="2" t="s">
        <v>682</v>
      </c>
      <c r="B569" s="1">
        <v>43.01</v>
      </c>
      <c r="C569" s="1">
        <v>-83.69</v>
      </c>
    </row>
    <row r="570" spans="1:3" ht="15" x14ac:dyDescent="0.25">
      <c r="A570" s="2" t="s">
        <v>683</v>
      </c>
      <c r="B570" s="1">
        <v>41.7</v>
      </c>
      <c r="C570" s="1">
        <v>-71.16</v>
      </c>
    </row>
    <row r="571" spans="1:3" ht="15" x14ac:dyDescent="0.25">
      <c r="A571" s="2" t="s">
        <v>684</v>
      </c>
      <c r="B571" s="1">
        <v>34.090000000000003</v>
      </c>
      <c r="C571" s="1">
        <v>-117.44</v>
      </c>
    </row>
    <row r="572" spans="1:3" ht="15" x14ac:dyDescent="0.25">
      <c r="A572" s="2" t="s">
        <v>685</v>
      </c>
      <c r="B572" s="1">
        <v>26.62</v>
      </c>
      <c r="C572" s="1">
        <v>-81.84</v>
      </c>
    </row>
    <row r="573" spans="1:3" ht="15" x14ac:dyDescent="0.25">
      <c r="A573" s="2" t="s">
        <v>686</v>
      </c>
      <c r="B573" s="1">
        <v>40.590000000000003</v>
      </c>
      <c r="C573" s="1">
        <v>-105.08</v>
      </c>
    </row>
    <row r="574" spans="1:3" ht="15" x14ac:dyDescent="0.25">
      <c r="A574" s="2" t="s">
        <v>135</v>
      </c>
      <c r="B574" s="5">
        <v>26.12</v>
      </c>
      <c r="C574" s="1">
        <v>-80.14</v>
      </c>
    </row>
    <row r="575" spans="1:3" ht="15" x14ac:dyDescent="0.25">
      <c r="A575" s="2" t="s">
        <v>687</v>
      </c>
      <c r="B575" s="1">
        <v>35.39</v>
      </c>
      <c r="C575" s="1">
        <v>-94.4</v>
      </c>
    </row>
    <row r="576" spans="1:3" ht="15" x14ac:dyDescent="0.25">
      <c r="A576" s="2" t="s">
        <v>688</v>
      </c>
      <c r="B576" s="1">
        <v>41.13</v>
      </c>
      <c r="C576" s="1">
        <v>-85.13</v>
      </c>
    </row>
    <row r="577" spans="1:3" ht="15" x14ac:dyDescent="0.25">
      <c r="A577" s="2" t="s">
        <v>142</v>
      </c>
      <c r="B577" s="1">
        <v>32.729999999999997</v>
      </c>
      <c r="C577" s="1">
        <v>-97.32</v>
      </c>
    </row>
    <row r="578" spans="1:3" ht="15" x14ac:dyDescent="0.25">
      <c r="A578" s="2" t="s">
        <v>689</v>
      </c>
      <c r="B578" s="1">
        <v>35.93</v>
      </c>
      <c r="C578" s="1">
        <v>-86.87</v>
      </c>
    </row>
    <row r="579" spans="1:3" ht="15" x14ac:dyDescent="0.25">
      <c r="A579" s="2" t="s">
        <v>690</v>
      </c>
      <c r="B579" s="1">
        <v>38.200000000000003</v>
      </c>
      <c r="C579" s="1">
        <v>-84.87</v>
      </c>
    </row>
    <row r="580" spans="1:3" ht="15" x14ac:dyDescent="0.25">
      <c r="A580" s="2" t="s">
        <v>691</v>
      </c>
      <c r="B580" s="1">
        <v>39.409999999999997</v>
      </c>
      <c r="C580" s="1">
        <v>-77.41</v>
      </c>
    </row>
    <row r="581" spans="1:3" ht="15" x14ac:dyDescent="0.25">
      <c r="A581" s="2" t="s">
        <v>692</v>
      </c>
      <c r="B581" s="1">
        <v>36.75</v>
      </c>
      <c r="C581" s="1">
        <v>-119.77</v>
      </c>
    </row>
    <row r="582" spans="1:3" ht="15" x14ac:dyDescent="0.25">
      <c r="A582" s="2" t="s">
        <v>97</v>
      </c>
      <c r="B582" s="1">
        <v>37.549999999999997</v>
      </c>
      <c r="C582" s="1">
        <v>-121.99</v>
      </c>
    </row>
    <row r="583" spans="1:3" ht="15" x14ac:dyDescent="0.25">
      <c r="A583" s="2" t="s">
        <v>693</v>
      </c>
      <c r="B583" s="1">
        <v>33.15</v>
      </c>
      <c r="C583" s="1">
        <v>-96.82</v>
      </c>
    </row>
    <row r="584" spans="1:3" ht="15" x14ac:dyDescent="0.25">
      <c r="A584" s="2" t="s">
        <v>694</v>
      </c>
      <c r="B584" s="1">
        <v>33.869999999999997</v>
      </c>
      <c r="C584" s="1">
        <v>-117.93</v>
      </c>
    </row>
    <row r="585" spans="1:3" ht="15" x14ac:dyDescent="0.25">
      <c r="A585" s="2" t="s">
        <v>695</v>
      </c>
      <c r="B585" s="1">
        <v>41.14</v>
      </c>
      <c r="C585" s="1">
        <v>-73.260000000000005</v>
      </c>
    </row>
    <row r="586" spans="1:3" ht="15" x14ac:dyDescent="0.25">
      <c r="A586" s="2" t="s">
        <v>695</v>
      </c>
      <c r="B586" s="1">
        <v>38.25</v>
      </c>
      <c r="C586" s="1">
        <v>-122.04</v>
      </c>
    </row>
    <row r="587" spans="1:3" ht="15" x14ac:dyDescent="0.25">
      <c r="A587" s="2" t="s">
        <v>696</v>
      </c>
      <c r="B587" s="1">
        <v>42.78</v>
      </c>
      <c r="C587" s="1">
        <v>-71.08</v>
      </c>
    </row>
    <row r="588" spans="1:3" ht="15" x14ac:dyDescent="0.25">
      <c r="A588" s="2" t="s">
        <v>697</v>
      </c>
      <c r="B588" s="1">
        <v>35.96</v>
      </c>
      <c r="C588" s="1">
        <v>-80.010000000000005</v>
      </c>
    </row>
    <row r="589" spans="1:3" ht="15" x14ac:dyDescent="0.25">
      <c r="A589" s="2" t="s">
        <v>698</v>
      </c>
      <c r="B589" s="1">
        <v>25.86</v>
      </c>
      <c r="C589" s="1">
        <v>-80.28</v>
      </c>
    </row>
    <row r="590" spans="1:3" ht="15" x14ac:dyDescent="0.25">
      <c r="A590" s="2" t="s">
        <v>699</v>
      </c>
      <c r="B590" s="1">
        <v>41.58</v>
      </c>
      <c r="C590" s="1">
        <v>-87.5</v>
      </c>
    </row>
    <row r="591" spans="1:3" ht="15" x14ac:dyDescent="0.25">
      <c r="A591" s="2" t="s">
        <v>700</v>
      </c>
      <c r="B591" s="1">
        <v>33.659999999999997</v>
      </c>
      <c r="C591" s="1">
        <v>-118</v>
      </c>
    </row>
    <row r="592" spans="1:3" ht="15" x14ac:dyDescent="0.25">
      <c r="A592" s="2" t="s">
        <v>701</v>
      </c>
      <c r="B592" s="1">
        <v>33.979999999999997</v>
      </c>
      <c r="C592" s="1">
        <v>-118.23</v>
      </c>
    </row>
    <row r="593" spans="1:3" ht="15" x14ac:dyDescent="0.25">
      <c r="A593" s="2" t="s">
        <v>702</v>
      </c>
      <c r="B593" s="1">
        <v>34.729999999999997</v>
      </c>
      <c r="C593" s="1">
        <v>-86.59</v>
      </c>
    </row>
    <row r="594" spans="1:3" ht="15" x14ac:dyDescent="0.25">
      <c r="A594" s="2" t="s">
        <v>703</v>
      </c>
      <c r="B594" s="1">
        <v>26.19</v>
      </c>
      <c r="C594" s="1">
        <v>-97.7</v>
      </c>
    </row>
    <row r="595" spans="1:3" ht="15" x14ac:dyDescent="0.25">
      <c r="A595" s="2" t="s">
        <v>704</v>
      </c>
      <c r="B595" s="1">
        <v>41.76</v>
      </c>
      <c r="C595" s="1">
        <v>-72.69</v>
      </c>
    </row>
    <row r="596" spans="1:3" ht="15" x14ac:dyDescent="0.25">
      <c r="A596" s="2" t="s">
        <v>705</v>
      </c>
      <c r="B596" s="1">
        <v>37.67</v>
      </c>
      <c r="C596" s="1">
        <v>-122.08</v>
      </c>
    </row>
    <row r="597" spans="1:3" ht="15" x14ac:dyDescent="0.25">
      <c r="A597" s="2" t="s">
        <v>706</v>
      </c>
      <c r="B597" s="1">
        <v>46.59</v>
      </c>
      <c r="C597" s="1">
        <v>-112.04</v>
      </c>
    </row>
    <row r="598" spans="1:3" ht="15" x14ac:dyDescent="0.25">
      <c r="A598" s="2" t="s">
        <v>707</v>
      </c>
      <c r="B598" s="1">
        <v>33.75</v>
      </c>
      <c r="C598" s="1">
        <v>-116.97</v>
      </c>
    </row>
    <row r="599" spans="1:3" ht="15" x14ac:dyDescent="0.25">
      <c r="A599" s="2" t="s">
        <v>708</v>
      </c>
      <c r="B599" s="1">
        <v>40.71</v>
      </c>
      <c r="C599" s="1">
        <v>-73.62</v>
      </c>
    </row>
    <row r="600" spans="1:3" ht="15" x14ac:dyDescent="0.25">
      <c r="A600" s="2" t="s">
        <v>120</v>
      </c>
      <c r="B600" s="1">
        <v>36.04</v>
      </c>
      <c r="C600" s="1">
        <v>-114.98</v>
      </c>
    </row>
    <row r="601" spans="1:3" ht="15" x14ac:dyDescent="0.25">
      <c r="A601" s="2" t="s">
        <v>709</v>
      </c>
      <c r="B601" s="1">
        <v>45.52</v>
      </c>
      <c r="C601" s="1">
        <v>-122.99</v>
      </c>
    </row>
    <row r="602" spans="1:3" ht="15" x14ac:dyDescent="0.25">
      <c r="A602" s="2" t="s">
        <v>710</v>
      </c>
      <c r="B602" s="1">
        <v>40.74</v>
      </c>
      <c r="C602" s="1">
        <v>-74.03</v>
      </c>
    </row>
    <row r="603" spans="1:3" ht="15" x14ac:dyDescent="0.25">
      <c r="A603" s="2" t="s">
        <v>711</v>
      </c>
      <c r="B603" s="4">
        <v>44587</v>
      </c>
      <c r="C603" s="1">
        <v>-80.150000000000006</v>
      </c>
    </row>
    <row r="604" spans="1:3" ht="15" x14ac:dyDescent="0.25">
      <c r="A604" s="2" t="s">
        <v>712</v>
      </c>
      <c r="B604" s="1">
        <v>25.47</v>
      </c>
      <c r="C604" s="1">
        <v>-80.48</v>
      </c>
    </row>
    <row r="605" spans="1:3" ht="15" x14ac:dyDescent="0.25">
      <c r="A605" s="2" t="s">
        <v>38</v>
      </c>
      <c r="B605" s="1">
        <v>29.76</v>
      </c>
      <c r="C605" s="1">
        <v>-95.36</v>
      </c>
    </row>
    <row r="606" spans="1:3" ht="15" x14ac:dyDescent="0.25">
      <c r="A606" s="2" t="s">
        <v>713</v>
      </c>
      <c r="B606" s="1">
        <v>37.03</v>
      </c>
      <c r="C606" s="1">
        <v>-76.349999999999994</v>
      </c>
    </row>
    <row r="607" spans="1:3" ht="15" x14ac:dyDescent="0.25">
      <c r="A607" s="2" t="s">
        <v>714</v>
      </c>
      <c r="B607" s="1">
        <v>36.33</v>
      </c>
      <c r="C607" s="1">
        <v>-119.65</v>
      </c>
    </row>
    <row r="608" spans="1:3" ht="15" x14ac:dyDescent="0.25">
      <c r="A608" s="2" t="s">
        <v>715</v>
      </c>
      <c r="B608" s="1">
        <v>39.130000000000003</v>
      </c>
      <c r="C608" s="1">
        <v>-84.51</v>
      </c>
    </row>
    <row r="609" spans="1:3" ht="15" x14ac:dyDescent="0.25">
      <c r="A609" s="2" t="s">
        <v>716</v>
      </c>
      <c r="B609" s="1">
        <v>41.85</v>
      </c>
      <c r="C609" s="1">
        <v>-87.75</v>
      </c>
    </row>
    <row r="610" spans="1:3" ht="15" x14ac:dyDescent="0.25">
      <c r="A610" s="2" t="s">
        <v>717</v>
      </c>
      <c r="B610" s="1">
        <v>33.31</v>
      </c>
      <c r="C610" s="1">
        <v>-111.84</v>
      </c>
    </row>
    <row r="611" spans="1:3" ht="15" x14ac:dyDescent="0.25">
      <c r="A611" s="2" t="s">
        <v>718</v>
      </c>
      <c r="B611" s="1">
        <v>38.35</v>
      </c>
      <c r="C611" s="1">
        <v>-81.63</v>
      </c>
    </row>
    <row r="612" spans="1:3" ht="15" x14ac:dyDescent="0.25">
      <c r="A612" s="2" t="s">
        <v>718</v>
      </c>
      <c r="B612" s="1">
        <v>32.78</v>
      </c>
      <c r="C612" s="1">
        <v>-79.930000000000007</v>
      </c>
    </row>
    <row r="613" spans="1:3" ht="15" x14ac:dyDescent="0.25">
      <c r="A613" s="2" t="s">
        <v>719</v>
      </c>
      <c r="B613" s="1">
        <v>35.049999999999997</v>
      </c>
      <c r="C613" s="1">
        <v>-85.31</v>
      </c>
    </row>
    <row r="614" spans="1:3" ht="15" x14ac:dyDescent="0.25">
      <c r="A614" s="2" t="s">
        <v>720</v>
      </c>
      <c r="B614" s="1">
        <v>36.82</v>
      </c>
      <c r="C614" s="1">
        <v>-76.27</v>
      </c>
    </row>
    <row r="615" spans="1:3" ht="15" x14ac:dyDescent="0.25">
      <c r="A615" s="2" t="s">
        <v>145</v>
      </c>
      <c r="B615" s="1">
        <v>41.85</v>
      </c>
      <c r="C615" s="1">
        <v>-87.65</v>
      </c>
    </row>
    <row r="616" spans="1:3" ht="15" x14ac:dyDescent="0.25">
      <c r="A616" s="2" t="s">
        <v>721</v>
      </c>
      <c r="B616" s="1">
        <v>39.729999999999997</v>
      </c>
      <c r="C616" s="1">
        <v>-121.84</v>
      </c>
    </row>
    <row r="617" spans="1:3" ht="15" x14ac:dyDescent="0.25">
      <c r="A617" s="2" t="s">
        <v>722</v>
      </c>
      <c r="B617" s="1">
        <v>42.15</v>
      </c>
      <c r="C617" s="1">
        <v>-72.61</v>
      </c>
    </row>
    <row r="618" spans="1:3" ht="15" x14ac:dyDescent="0.25">
      <c r="A618" s="2" t="s">
        <v>723</v>
      </c>
      <c r="B618" s="1">
        <v>34.01</v>
      </c>
      <c r="C618" s="1">
        <v>-117.69</v>
      </c>
    </row>
    <row r="619" spans="1:3" ht="15" x14ac:dyDescent="0.25">
      <c r="A619" s="2" t="s">
        <v>724</v>
      </c>
      <c r="B619" s="1">
        <v>32.64</v>
      </c>
      <c r="C619" s="1">
        <v>-117.08</v>
      </c>
    </row>
    <row r="620" spans="1:3" ht="15" x14ac:dyDescent="0.25">
      <c r="A620" s="2" t="s">
        <v>725</v>
      </c>
      <c r="B620" s="1">
        <v>41.14</v>
      </c>
      <c r="C620" s="1">
        <v>-104.82</v>
      </c>
    </row>
    <row r="621" spans="1:3" ht="15" x14ac:dyDescent="0.25">
      <c r="A621" s="2" t="s">
        <v>726</v>
      </c>
      <c r="B621" s="1">
        <v>40.119999999999997</v>
      </c>
      <c r="C621" s="1">
        <v>-88.24</v>
      </c>
    </row>
    <row r="622" spans="1:3" ht="15" x14ac:dyDescent="0.25">
      <c r="A622" s="2" t="s">
        <v>727</v>
      </c>
      <c r="B622" s="1">
        <v>35.229999999999997</v>
      </c>
      <c r="C622" s="1">
        <v>-80.84</v>
      </c>
    </row>
    <row r="623" spans="1:3" ht="15" x14ac:dyDescent="0.25">
      <c r="A623" s="2" t="s">
        <v>728</v>
      </c>
      <c r="B623" s="1">
        <v>42.03</v>
      </c>
      <c r="C623" s="1">
        <v>-88.08</v>
      </c>
    </row>
    <row r="624" spans="1:3" ht="15" x14ac:dyDescent="0.25">
      <c r="A624" s="2" t="s">
        <v>729</v>
      </c>
      <c r="B624" s="1">
        <v>39.04</v>
      </c>
      <c r="C624" s="1">
        <v>-94.72</v>
      </c>
    </row>
    <row r="625" spans="1:3" ht="15" x14ac:dyDescent="0.25">
      <c r="A625" s="2" t="s">
        <v>730</v>
      </c>
      <c r="B625" s="1">
        <v>32.53</v>
      </c>
      <c r="C625" s="1">
        <v>-93.75</v>
      </c>
    </row>
    <row r="626" spans="1:3" ht="15" x14ac:dyDescent="0.25">
      <c r="A626" s="2" t="s">
        <v>731</v>
      </c>
      <c r="B626" s="1">
        <v>29.62</v>
      </c>
      <c r="C626" s="1">
        <v>-95.63</v>
      </c>
    </row>
    <row r="627" spans="1:3" ht="15" x14ac:dyDescent="0.25">
      <c r="A627" s="2" t="s">
        <v>732</v>
      </c>
      <c r="B627" s="1">
        <v>37.97</v>
      </c>
      <c r="C627" s="1">
        <v>-87.56</v>
      </c>
    </row>
    <row r="628" spans="1:3" ht="15" x14ac:dyDescent="0.25">
      <c r="A628" s="2" t="s">
        <v>733</v>
      </c>
      <c r="B628" s="1">
        <v>42.04</v>
      </c>
      <c r="C628" s="1">
        <v>-87.69</v>
      </c>
    </row>
    <row r="629" spans="1:3" ht="15" x14ac:dyDescent="0.25">
      <c r="A629" s="2" t="s">
        <v>734</v>
      </c>
      <c r="B629" s="1">
        <v>47.98</v>
      </c>
      <c r="C629" s="1">
        <v>-122.2</v>
      </c>
    </row>
    <row r="630" spans="1:3" ht="15" x14ac:dyDescent="0.25">
      <c r="A630" s="2" t="s">
        <v>735</v>
      </c>
      <c r="B630" s="3">
        <v>44646</v>
      </c>
      <c r="C630" s="1">
        <v>-98.16</v>
      </c>
    </row>
    <row r="631" spans="1:3" ht="15" x14ac:dyDescent="0.25">
      <c r="A631" s="2" t="s">
        <v>736</v>
      </c>
      <c r="B631" s="1">
        <v>40.520000000000003</v>
      </c>
      <c r="C631" s="1">
        <v>-74.41</v>
      </c>
    </row>
    <row r="632" spans="1:3" ht="15" x14ac:dyDescent="0.25">
      <c r="A632" s="2" t="s">
        <v>737</v>
      </c>
      <c r="B632" s="1">
        <v>35.65</v>
      </c>
      <c r="C632" s="1">
        <v>-97.48</v>
      </c>
    </row>
    <row r="633" spans="1:3" ht="15" x14ac:dyDescent="0.25">
      <c r="A633" s="2" t="s">
        <v>738</v>
      </c>
      <c r="B633" s="1">
        <v>42.03</v>
      </c>
      <c r="C633" s="1">
        <v>-93.62</v>
      </c>
    </row>
    <row r="634" spans="1:3" ht="15" x14ac:dyDescent="0.25">
      <c r="A634" s="2" t="s">
        <v>739</v>
      </c>
      <c r="B634" s="1">
        <v>42.04</v>
      </c>
      <c r="C634" s="1">
        <v>-88.28</v>
      </c>
    </row>
    <row r="635" spans="1:3" ht="15" x14ac:dyDescent="0.25">
      <c r="A635" s="2" t="s">
        <v>740</v>
      </c>
      <c r="B635" s="1">
        <v>40.659999999999997</v>
      </c>
      <c r="C635" s="1">
        <v>-74.209999999999994</v>
      </c>
    </row>
    <row r="636" spans="1:3" ht="15" x14ac:dyDescent="0.25">
      <c r="A636" s="2" t="s">
        <v>741</v>
      </c>
      <c r="B636" s="1">
        <v>41.37</v>
      </c>
      <c r="C636" s="1">
        <v>-82.11</v>
      </c>
    </row>
    <row r="637" spans="1:3" ht="15" x14ac:dyDescent="0.25">
      <c r="A637" s="2" t="s">
        <v>742</v>
      </c>
      <c r="B637" s="1">
        <v>38.409999999999997</v>
      </c>
      <c r="C637" s="1">
        <v>-121.37</v>
      </c>
    </row>
    <row r="638" spans="1:3" ht="15" x14ac:dyDescent="0.25">
      <c r="A638" s="2" t="s">
        <v>743</v>
      </c>
      <c r="B638" s="1">
        <v>41.68</v>
      </c>
      <c r="C638" s="1">
        <v>-85.98</v>
      </c>
    </row>
    <row r="639" spans="1:3" ht="15" x14ac:dyDescent="0.25">
      <c r="A639" s="2" t="s">
        <v>744</v>
      </c>
      <c r="B639" s="1">
        <v>32.79</v>
      </c>
      <c r="C639" s="1">
        <v>-116.96</v>
      </c>
    </row>
    <row r="640" spans="1:3" ht="15" x14ac:dyDescent="0.25">
      <c r="A640" s="2" t="s">
        <v>745</v>
      </c>
      <c r="B640" s="1">
        <v>34.07</v>
      </c>
      <c r="C640" s="1">
        <v>-118.03</v>
      </c>
    </row>
    <row r="641" spans="1:3" ht="15" x14ac:dyDescent="0.25">
      <c r="A641" s="2" t="s">
        <v>746</v>
      </c>
      <c r="B641" s="1">
        <v>31.76</v>
      </c>
      <c r="C641" s="1">
        <v>-106.49</v>
      </c>
    </row>
    <row r="642" spans="1:3" ht="15" x14ac:dyDescent="0.25">
      <c r="A642" s="2" t="s">
        <v>747</v>
      </c>
      <c r="B642" s="1">
        <v>36.4</v>
      </c>
      <c r="C642" s="1">
        <v>-97.88</v>
      </c>
    </row>
    <row r="643" spans="1:3" ht="15" x14ac:dyDescent="0.25">
      <c r="A643" s="2" t="s">
        <v>748</v>
      </c>
      <c r="B643" s="1">
        <v>42.28</v>
      </c>
      <c r="C643" s="1">
        <v>-83.74</v>
      </c>
    </row>
    <row r="644" spans="1:3" ht="15" x14ac:dyDescent="0.25">
      <c r="A644" s="2" t="s">
        <v>749</v>
      </c>
      <c r="B644" s="1">
        <v>33.04</v>
      </c>
      <c r="C644" s="1">
        <v>-117.29</v>
      </c>
    </row>
    <row r="645" spans="1:3" ht="15" x14ac:dyDescent="0.25">
      <c r="A645" s="2" t="s">
        <v>750</v>
      </c>
      <c r="B645" s="1">
        <v>44.73</v>
      </c>
      <c r="C645" s="1">
        <v>-93.22</v>
      </c>
    </row>
    <row r="646" spans="1:3" ht="15" x14ac:dyDescent="0.25">
      <c r="A646" s="2" t="s">
        <v>751</v>
      </c>
      <c r="B646" s="1">
        <v>42.13</v>
      </c>
      <c r="C646" s="1">
        <v>-80.09</v>
      </c>
    </row>
    <row r="647" spans="1:3" ht="15" x14ac:dyDescent="0.25">
      <c r="A647" s="2" t="s">
        <v>752</v>
      </c>
      <c r="B647" s="1">
        <v>33.119999999999997</v>
      </c>
      <c r="C647" s="1">
        <v>-117.09</v>
      </c>
    </row>
    <row r="648" spans="1:3" ht="15" x14ac:dyDescent="0.25">
      <c r="A648" s="2" t="s">
        <v>753</v>
      </c>
      <c r="B648" s="1">
        <v>35.6</v>
      </c>
      <c r="C648" s="1">
        <v>-82.55</v>
      </c>
    </row>
    <row r="649" spans="1:3" ht="15" x14ac:dyDescent="0.25">
      <c r="A649" s="2" t="s">
        <v>754</v>
      </c>
      <c r="B649" s="1">
        <v>39.14</v>
      </c>
      <c r="C649" s="1">
        <v>-121.62</v>
      </c>
    </row>
    <row r="650" spans="1:3" ht="15" x14ac:dyDescent="0.25">
      <c r="A650" s="2" t="s">
        <v>755</v>
      </c>
      <c r="B650" s="1">
        <v>44.05</v>
      </c>
      <c r="C650" s="1">
        <v>-123.09</v>
      </c>
    </row>
    <row r="651" spans="1:3" ht="15" x14ac:dyDescent="0.25">
      <c r="A651" s="2" t="s">
        <v>756</v>
      </c>
      <c r="B651" s="1">
        <v>32.729999999999997</v>
      </c>
      <c r="C651" s="1">
        <v>-114.62</v>
      </c>
    </row>
    <row r="652" spans="1:3" ht="15" x14ac:dyDescent="0.25">
      <c r="A652" s="2" t="s">
        <v>757</v>
      </c>
      <c r="B652" s="1">
        <v>40.78</v>
      </c>
      <c r="C652" s="1">
        <v>-74.02</v>
      </c>
    </row>
    <row r="653" spans="1:3" ht="15" x14ac:dyDescent="0.25">
      <c r="A653" s="2" t="s">
        <v>758</v>
      </c>
      <c r="B653" s="1">
        <v>26.93</v>
      </c>
      <c r="C653" s="1">
        <v>-80.09</v>
      </c>
    </row>
    <row r="654" spans="1:3" ht="15" x14ac:dyDescent="0.25">
      <c r="A654" s="2" t="s">
        <v>759</v>
      </c>
      <c r="B654" s="1">
        <v>43.1</v>
      </c>
      <c r="C654" s="1">
        <v>-75.23</v>
      </c>
    </row>
    <row r="655" spans="1:3" ht="15" x14ac:dyDescent="0.25">
      <c r="A655" s="2" t="s">
        <v>760</v>
      </c>
      <c r="B655" s="1">
        <v>46.6</v>
      </c>
      <c r="C655" s="1">
        <v>-120.51</v>
      </c>
    </row>
    <row r="656" spans="1:3" ht="15" x14ac:dyDescent="0.25">
      <c r="A656" s="2" t="s">
        <v>761</v>
      </c>
      <c r="B656" s="1">
        <v>41.1</v>
      </c>
      <c r="C656" s="1">
        <v>-80.650000000000006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50DBF-C214-4F2D-89F6-7FA520145B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Штаты</vt:lpstr>
      <vt:lpstr>координаты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2022-04-24T13:00:20Z</dcterms:modified>
</cp:coreProperties>
</file>